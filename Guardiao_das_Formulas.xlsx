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faells\Desktop\"/>
    </mc:Choice>
  </mc:AlternateContent>
  <xr:revisionPtr revIDLastSave="0" documentId="8_{8F6BAB29-FCF1-41D8-BA4E-36AA5328BEF5}" xr6:coauthVersionLast="47" xr6:coauthVersionMax="47" xr10:uidLastSave="{00000000-0000-0000-0000-000000000000}"/>
  <bookViews>
    <workbookView xWindow="-120" yWindow="-120" windowWidth="29040" windowHeight="15720" xr2:uid="{E674ED1C-49C7-4FC4-8164-D93BBC4A0F94}"/>
  </bookViews>
  <sheets>
    <sheet name="Guardião das Fórmulas" sheetId="2" r:id="rId1"/>
  </sheets>
  <definedNames>
    <definedName name="_xlnm._FilterDatabase" localSheetId="0" hidden="1">'Guardião das Fórmulas'!$C$3:$J$3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5" i="2" l="1"/>
  <c r="M9" i="2"/>
  <c r="M13" i="2"/>
  <c r="M14" i="2"/>
  <c r="M15" i="2"/>
</calcChain>
</file>

<file path=xl/sharedStrings.xml><?xml version="1.0" encoding="utf-8"?>
<sst xmlns="http://schemas.openxmlformats.org/spreadsheetml/2006/main" count="476" uniqueCount="248">
  <si>
    <t>ISENÇÕES</t>
  </si>
  <si>
    <t>Sra. Alice da Costa</t>
  </si>
  <si>
    <t>Pedro Pereira</t>
  </si>
  <si>
    <t>ZERO KM</t>
  </si>
  <si>
    <t>Laís Martins</t>
  </si>
  <si>
    <t>USADOS</t>
  </si>
  <si>
    <t>Sr. Benício da Cunha</t>
  </si>
  <si>
    <t>Srta. Mirella Cunha</t>
  </si>
  <si>
    <t>João Guilherme da Mata</t>
  </si>
  <si>
    <t>Olivia Rezende</t>
  </si>
  <si>
    <t>Benício Sales</t>
  </si>
  <si>
    <t>Dra. Isabel Campos</t>
  </si>
  <si>
    <t>Maria Vitória Dias</t>
  </si>
  <si>
    <t>Cauê da Luz</t>
  </si>
  <si>
    <t>Joana das Neves</t>
  </si>
  <si>
    <t>Srta. Sabrina Aragão</t>
  </si>
  <si>
    <t>Sr. Antônio Almeida</t>
  </si>
  <si>
    <t>Letícia Vieira</t>
  </si>
  <si>
    <t>João da Conceição</t>
  </si>
  <si>
    <t>Enzo Gabriel Costela</t>
  </si>
  <si>
    <t>Felipe Caldeira</t>
  </si>
  <si>
    <t>Nicole Dias</t>
  </si>
  <si>
    <t>Luigi Rocha</t>
  </si>
  <si>
    <t>Elisa Pinto</t>
  </si>
  <si>
    <t>Carlos Eduardo Melo</t>
  </si>
  <si>
    <t>Brenda Barros</t>
  </si>
  <si>
    <t>Ana Júlia Barros</t>
  </si>
  <si>
    <t>Bernardo Farias</t>
  </si>
  <si>
    <t>Stephany Cavalcanti</t>
  </si>
  <si>
    <t>Júlia Peixoto</t>
  </si>
  <si>
    <t>Thiago da Mota</t>
  </si>
  <si>
    <t>Amanda da Rocha</t>
  </si>
  <si>
    <t>Dr. Felipe Costa</t>
  </si>
  <si>
    <t>João Gabriel da Rosa</t>
  </si>
  <si>
    <t>Bruno Azevedo</t>
  </si>
  <si>
    <t>Natália da Costa</t>
  </si>
  <si>
    <t>Marcos Vinicius Sales</t>
  </si>
  <si>
    <t>Diogo Moraes</t>
  </si>
  <si>
    <t>Nicolas Lima</t>
  </si>
  <si>
    <t>Henrique Melo</t>
  </si>
  <si>
    <t>Davi Lucca da Luz</t>
  </si>
  <si>
    <t>Sr. Luiz Fernando Alves</t>
  </si>
  <si>
    <t>Luiz Felipe Alves</t>
  </si>
  <si>
    <t>Lucas Martins</t>
  </si>
  <si>
    <t>Dr. João Guilherme Pinto</t>
  </si>
  <si>
    <t>Pedro Miguel Nascimento</t>
  </si>
  <si>
    <t>Srta. Lavínia Martins</t>
  </si>
  <si>
    <t>Mirella Jesus</t>
  </si>
  <si>
    <t>Melissa das Neves</t>
  </si>
  <si>
    <t>Levi Dias</t>
  </si>
  <si>
    <t>Giovanna da Rosa</t>
  </si>
  <si>
    <t>Antônio Costa</t>
  </si>
  <si>
    <t>Sra. Ana Sophia Ferreira</t>
  </si>
  <si>
    <t>Alexandre Campos</t>
  </si>
  <si>
    <t>Esther Dias</t>
  </si>
  <si>
    <t>Matheus Aragão</t>
  </si>
  <si>
    <t>Isabella Nunes</t>
  </si>
  <si>
    <t>Catarina Carvalho</t>
  </si>
  <si>
    <t>Joana Pinto</t>
  </si>
  <si>
    <t>Catarina Freitas</t>
  </si>
  <si>
    <t>Melissa Aragão</t>
  </si>
  <si>
    <t>Erick Sales</t>
  </si>
  <si>
    <t>João Farias</t>
  </si>
  <si>
    <t>Thomas Viana</t>
  </si>
  <si>
    <t>Lavínia das Neves</t>
  </si>
  <si>
    <t>Raul Costa</t>
  </si>
  <si>
    <t>Matheus Barbosa</t>
  </si>
  <si>
    <t>Srta. Heloísa Farias</t>
  </si>
  <si>
    <t>Sra. Sabrina Azevedo</t>
  </si>
  <si>
    <t>João Felipe Teixeira</t>
  </si>
  <si>
    <t>Dr. João Guilherme Souza</t>
  </si>
  <si>
    <t>Sra. Emilly Nunes</t>
  </si>
  <si>
    <t>Sophie Costa</t>
  </si>
  <si>
    <t>Daniela Moreira</t>
  </si>
  <si>
    <t>Diogo Silveira</t>
  </si>
  <si>
    <t>Nicole Rocha</t>
  </si>
  <si>
    <t>Ana Sophia Lopes</t>
  </si>
  <si>
    <t>Bárbara Caldeira</t>
  </si>
  <si>
    <t>Nicole Nunes</t>
  </si>
  <si>
    <t>João Guilherme Souza</t>
  </si>
  <si>
    <t>Luiz Fernando Aragão</t>
  </si>
  <si>
    <t>Pietro Ribeiro</t>
  </si>
  <si>
    <t>Dra. Maria Vitória Aragão</t>
  </si>
  <si>
    <t>Dra. Natália Viana</t>
  </si>
  <si>
    <t>Gustavo Henrique Freitas</t>
  </si>
  <si>
    <t>Dra. Luna Cardoso</t>
  </si>
  <si>
    <t>João Gabriel da Rocha</t>
  </si>
  <si>
    <t>Guilherme Fernandes</t>
  </si>
  <si>
    <t>Sr. Davi Lucca da Costa</t>
  </si>
  <si>
    <t>Ana Luiza Campos</t>
  </si>
  <si>
    <t>Emanuel Pereira</t>
  </si>
  <si>
    <t>Kevin Azevedo</t>
  </si>
  <si>
    <t>Maitê da Rocha</t>
  </si>
  <si>
    <t>João Guilherme Azevedo</t>
  </si>
  <si>
    <t>João Guilherme Correia</t>
  </si>
  <si>
    <t>Manuela da Mata</t>
  </si>
  <si>
    <t>Lara da Costa</t>
  </si>
  <si>
    <t>Mirella da Conceição</t>
  </si>
  <si>
    <t>João Felipe Rezende</t>
  </si>
  <si>
    <t>Luiz Otávio Monteiro</t>
  </si>
  <si>
    <t>Dra. Luana Dias</t>
  </si>
  <si>
    <t>Mariane Silva</t>
  </si>
  <si>
    <t>Manuela Nascimento</t>
  </si>
  <si>
    <t>Marcelo Gomes</t>
  </si>
  <si>
    <t>Evelyn da Conceição</t>
  </si>
  <si>
    <t>Agatha Viana</t>
  </si>
  <si>
    <t>Ana Laura Novaes</t>
  </si>
  <si>
    <t>Emanuella da Mata</t>
  </si>
  <si>
    <t>Beatriz Silveira</t>
  </si>
  <si>
    <t>Alice Almeida</t>
  </si>
  <si>
    <t>Vitória Rezende</t>
  </si>
  <si>
    <t>Laís Rodrigues</t>
  </si>
  <si>
    <t>Alexandre Santos</t>
  </si>
  <si>
    <t>Luiza Cavalcanti</t>
  </si>
  <si>
    <t>Vitor Hugo Pinto</t>
  </si>
  <si>
    <t>Sr. Raul Monteiro</t>
  </si>
  <si>
    <t>Henrique da Cruz</t>
  </si>
  <si>
    <t>Davi Lucas da Rosa</t>
  </si>
  <si>
    <t>Caio Mendes</t>
  </si>
  <si>
    <t>Emanuella Cunha</t>
  </si>
  <si>
    <t>Fernanda da Costa</t>
  </si>
  <si>
    <t>Alexandre Silva</t>
  </si>
  <si>
    <t>Kamilly da Cunha</t>
  </si>
  <si>
    <t>Média de Vendas dos Não Ganhadores</t>
  </si>
  <si>
    <t>Média de Vendas Total</t>
  </si>
  <si>
    <t>Ganhadores</t>
  </si>
  <si>
    <t>Total Vendedores</t>
  </si>
  <si>
    <t>Ganhadores do prêmio</t>
  </si>
  <si>
    <t>Efetuaram vendas</t>
  </si>
  <si>
    <t>Não efetuaram vendas</t>
  </si>
  <si>
    <t>Total</t>
  </si>
  <si>
    <t>NÚMERO DE VENDEDORES</t>
  </si>
  <si>
    <t>Média</t>
  </si>
  <si>
    <t xml:space="preserve">Menor </t>
  </si>
  <si>
    <t>Maior</t>
  </si>
  <si>
    <t>Mínimo</t>
  </si>
  <si>
    <t>Máximo</t>
  </si>
  <si>
    <t>VENDAS</t>
  </si>
  <si>
    <t>PRÊMIO EXTRA</t>
  </si>
  <si>
    <t>CONCEITO</t>
  </si>
  <si>
    <t>VALOR DO PRÊMIO</t>
  </si>
  <si>
    <t>COLOCAÇÃO</t>
  </si>
  <si>
    <t>VALOR DA VENDA (R$)</t>
  </si>
  <si>
    <t>DEPARTAMENTO</t>
  </si>
  <si>
    <t>VENDEDOR</t>
  </si>
  <si>
    <t>Quantidade</t>
  </si>
  <si>
    <t>Meta:</t>
  </si>
  <si>
    <t>Valor do Prêmio:</t>
  </si>
  <si>
    <t>mÁxImo qUEIrOz</t>
  </si>
  <si>
    <t>mArIA aMÉLIA gOuVeiA</t>
  </si>
  <si>
    <t>fERNAndO auGUSTo mARTInez</t>
  </si>
  <si>
    <t>sOLange farIaS</t>
  </si>
  <si>
    <t>gEraLDo maXImIliANo</t>
  </si>
  <si>
    <t>MArinEIde nOVAIs</t>
  </si>
  <si>
    <t>gILDa soaRes</t>
  </si>
  <si>
    <t>hECtor mAnGiOlIi</t>
  </si>
  <si>
    <t>mARLi vIEIra</t>
  </si>
  <si>
    <t>hOmERo gaMBErIn</t>
  </si>
  <si>
    <t>miRIAM hAShimOTO</t>
  </si>
  <si>
    <t>LUcI peREIra</t>
  </si>
  <si>
    <t>mARCela gIaNOTTi</t>
  </si>
  <si>
    <t>aRLEte faRIAs</t>
  </si>
  <si>
    <t>beATrIz dOMIngUes</t>
  </si>
  <si>
    <t>caMIlA goNÇAlvEs</t>
  </si>
  <si>
    <t>roGÉRIo hanIBaL juNIor</t>
  </si>
  <si>
    <t>KATIa dOMEnIca lIRA</t>
  </si>
  <si>
    <t>raqUEL peIXOTo</t>
  </si>
  <si>
    <t>aNA júLIA cAstRO</t>
  </si>
  <si>
    <t>sOfIA coSTa</t>
  </si>
  <si>
    <t>yASMIn cAmPOs</t>
  </si>
  <si>
    <t>anDRÉ arAÚJo</t>
  </si>
  <si>
    <t>rYAn bArBosA</t>
  </si>
  <si>
    <t>alÍcIA caRDoso</t>
  </si>
  <si>
    <t>eLOAh noVAes</t>
  </si>
  <si>
    <t>aNA viTÓRIA da cONCeIÇÃo</t>
  </si>
  <si>
    <t>srTA. AGaTha dA lUZ</t>
  </si>
  <si>
    <t>vITOr gaBrIEl pINTo</t>
  </si>
  <si>
    <t>eLoAh lOPes</t>
  </si>
  <si>
    <t>jULIa siLVa</t>
  </si>
  <si>
    <t>AlIcE lOPeS</t>
  </si>
  <si>
    <t>tHoMAs moURa</t>
  </si>
  <si>
    <t>cLArICE dA coNCeIçÃO</t>
  </si>
  <si>
    <t>luCAs coSTA</t>
  </si>
  <si>
    <t>yURi dA rOcHA</t>
  </si>
  <si>
    <t>luIZ feLIpE mELO</t>
  </si>
  <si>
    <t>dr. mURiLo mOURA</t>
  </si>
  <si>
    <t>júLIA moRAEs</t>
  </si>
  <si>
    <t>caTArINA peIXOTo</t>
  </si>
  <si>
    <t>JOÃO luCAs oLIvEIra</t>
  </si>
  <si>
    <t>laVÍNIa pIRes</t>
  </si>
  <si>
    <t>LUna cARDOsO</t>
  </si>
  <si>
    <t>gIOVANNa reZENdE</t>
  </si>
  <si>
    <t>dAvi lUcCA feRnANdEs</t>
  </si>
  <si>
    <t>beNJaMIn dAS nEVeS</t>
  </si>
  <si>
    <t>ceCÍLIA raMOS</t>
  </si>
  <si>
    <t>rAFAeLA bARRos</t>
  </si>
  <si>
    <t>eLISa aLVeS</t>
  </si>
  <si>
    <t>bENÍcIo sALeS ferREIrA</t>
  </si>
  <si>
    <t>nINa noVaES</t>
  </si>
  <si>
    <t>heNRIQUe peIXOTo</t>
  </si>
  <si>
    <t>iSABELly viANa</t>
  </si>
  <si>
    <t>sRA. eLIsa Da cRUz</t>
  </si>
  <si>
    <t>ELisA DA cRUZ</t>
  </si>
  <si>
    <t>drA. maRIA viTÓrIA noGUEiRA</t>
  </si>
  <si>
    <t>srA. yaSMIn foGAÇa</t>
  </si>
  <si>
    <t>stELLa calDEIra</t>
  </si>
  <si>
    <t>sR. anTHOnY maRTIns</t>
  </si>
  <si>
    <t>LEanDRo coStA</t>
  </si>
  <si>
    <t>viCEnTE Da lUZ</t>
  </si>
  <si>
    <t>luCAs meLO</t>
  </si>
  <si>
    <t>soPHIa moRAes</t>
  </si>
  <si>
    <t>maRIA eduARDA Da lUZ</t>
  </si>
  <si>
    <t>aNa JúlIA saNToS</t>
  </si>
  <si>
    <t>ELOAh calDEIRa</t>
  </si>
  <si>
    <t>luCAs feRREira</t>
  </si>
  <si>
    <t>bÁRbARa roDRIguEs</t>
  </si>
  <si>
    <t>guSTavo hENriQUE fArIAS</t>
  </si>
  <si>
    <t>sRA. emANUElLy DA maTA</t>
  </si>
  <si>
    <t>dr. otÁVIO DAS nEVEs</t>
  </si>
  <si>
    <t>eLISa peIXOtO</t>
  </si>
  <si>
    <t>reBEca novAES</t>
  </si>
  <si>
    <t>YuRI faRIAs</t>
  </si>
  <si>
    <t>mARCOs vINICius siLVA</t>
  </si>
  <si>
    <t>srA. mAriA viTÓria viANa</t>
  </si>
  <si>
    <t>mArIa cLARa rEZEnDE</t>
  </si>
  <si>
    <t>jOÃO lUCAs mORAeS</t>
  </si>
  <si>
    <t>luIZA liMA</t>
  </si>
  <si>
    <t>dr. kAIQuE dA rOSA</t>
  </si>
  <si>
    <t>luIGI moREIra</t>
  </si>
  <si>
    <t>emANUEl moREIra</t>
  </si>
  <si>
    <t>maRIA luIZA nUNes</t>
  </si>
  <si>
    <t>mARCos vinICIus caRVaLHo</t>
  </si>
  <si>
    <t>anTHOnY nUNeS</t>
  </si>
  <si>
    <t>sOPHiA cArDOso</t>
  </si>
  <si>
    <t>YAsmIN cOSta</t>
  </si>
  <si>
    <t>luIZ fEliPE dA paZ</t>
  </si>
  <si>
    <t>naTÁLIA siLVeIRA</t>
  </si>
  <si>
    <t>guSTaVO dA coSTA</t>
  </si>
  <si>
    <t>piETRO alMEIdA</t>
  </si>
  <si>
    <t>anA caROlINa Da rOSA</t>
  </si>
  <si>
    <t>beRNArDO da motA</t>
  </si>
  <si>
    <t>caLEBe dA maTA</t>
  </si>
  <si>
    <t>paULo peREIra</t>
  </si>
  <si>
    <t>maRIa aLICE dIAS</t>
  </si>
  <si>
    <t>eMANUeLLY nasCImENTo</t>
  </si>
  <si>
    <t>caUÃ dA crUZ</t>
  </si>
  <si>
    <t xml:space="preserve">    LUCiAna meIreLLes</t>
  </si>
  <si>
    <t>stELLa cRUz E         souZA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</si>
</sst>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20591-7691-49B4-ACFA-B121093EE98F}">
  <dimension ref="A1:O223"/>
  <sheetViews>
    <sheetView tabSelected="1" workbookViewId="0">
      <selection activeCell="O6" sqref="O6"/>
    </sheetView>
  </sheetViews>
  <sheetFormatPr defaultColWidth="8.85546875" defaultRowHeight="15" x14ac:dyDescent="0.25"/>
  <cols>
    <col min="1" max="1" width="2.42578125" style="1" customWidth="1"/>
    <col min="2" max="2" width="15.28515625" style="1" bestFit="1" customWidth="1"/>
    <col min="3" max="3" width="28" style="1" bestFit="1" customWidth="1"/>
    <col min="4" max="4" width="23.7109375" style="1" customWidth="1"/>
    <col min="5" max="5" width="19.85546875" style="1" bestFit="1" customWidth="1"/>
    <col min="6" max="6" width="24.7109375" style="3" bestFit="1" customWidth="1"/>
    <col min="7" max="7" width="16.140625" style="1" bestFit="1" customWidth="1"/>
    <col min="8" max="8" width="21.7109375" style="1" bestFit="1" customWidth="1"/>
    <col min="9" max="9" width="14.28515625" style="1" bestFit="1" customWidth="1"/>
    <col min="10" max="10" width="18.28515625" style="1" bestFit="1" customWidth="1"/>
    <col min="11" max="11" width="8.85546875" style="1"/>
    <col min="12" max="12" width="32.28515625" style="1" bestFit="1" customWidth="1"/>
    <col min="13" max="13" width="12.5703125" style="1" bestFit="1" customWidth="1"/>
    <col min="14" max="14" width="8.85546875" style="1"/>
    <col min="15" max="15" width="23.42578125" style="1" bestFit="1" customWidth="1"/>
    <col min="16" max="16384" width="8.85546875" style="1"/>
  </cols>
  <sheetData>
    <row r="1" spans="1:15" ht="25.9" customHeight="1" x14ac:dyDescent="0.25">
      <c r="A1"/>
      <c r="B1"/>
      <c r="C1"/>
      <c r="D1"/>
      <c r="E1"/>
      <c r="F1"/>
      <c r="G1"/>
      <c r="H1"/>
      <c r="I1"/>
      <c r="J1"/>
    </row>
    <row r="2" spans="1:15" x14ac:dyDescent="0.25">
      <c r="A2"/>
      <c r="B2" t="s">
        <v>147</v>
      </c>
      <c r="C2">
        <v>50000</v>
      </c>
      <c r="D2"/>
      <c r="E2" t="s">
        <v>146</v>
      </c>
      <c r="F2">
        <v>130000</v>
      </c>
      <c r="G2"/>
      <c r="H2"/>
      <c r="I2"/>
      <c r="J2"/>
    </row>
    <row r="3" spans="1:15" x14ac:dyDescent="0.25">
      <c r="A3"/>
      <c r="B3" t="s">
        <v>145</v>
      </c>
      <c r="C3" t="s">
        <v>144</v>
      </c>
      <c r="D3"/>
      <c r="E3" t="s">
        <v>143</v>
      </c>
      <c r="F3" t="s">
        <v>142</v>
      </c>
      <c r="G3" t="s">
        <v>141</v>
      </c>
      <c r="H3" t="s">
        <v>140</v>
      </c>
      <c r="I3" t="s">
        <v>139</v>
      </c>
      <c r="J3" t="s">
        <v>138</v>
      </c>
      <c r="L3"/>
      <c r="M3"/>
      <c r="N3" s="2"/>
    </row>
    <row r="4" spans="1:15" x14ac:dyDescent="0.25">
      <c r="A4"/>
      <c r="B4">
        <v>1</v>
      </c>
      <c r="C4" t="s">
        <v>148</v>
      </c>
      <c r="D4"/>
      <c r="E4" t="s">
        <v>5</v>
      </c>
      <c r="F4">
        <v>100000</v>
      </c>
      <c r="G4"/>
      <c r="H4"/>
      <c r="I4"/>
      <c r="J4"/>
      <c r="L4" t="s">
        <v>137</v>
      </c>
      <c r="M4"/>
      <c r="N4" s="2"/>
    </row>
    <row r="5" spans="1:15" x14ac:dyDescent="0.25">
      <c r="A5"/>
      <c r="B5">
        <v>2</v>
      </c>
      <c r="C5" t="s">
        <v>149</v>
      </c>
      <c r="D5"/>
      <c r="E5" t="s">
        <v>3</v>
      </c>
      <c r="F5">
        <v>134600</v>
      </c>
      <c r="G5"/>
      <c r="H5"/>
      <c r="I5"/>
      <c r="J5"/>
      <c r="L5" t="s">
        <v>136</v>
      </c>
      <c r="M5">
        <f>MAX(F4:F23)</f>
        <v>150000</v>
      </c>
      <c r="N5" s="2"/>
    </row>
    <row r="6" spans="1:15" x14ac:dyDescent="0.25">
      <c r="A6"/>
      <c r="B6">
        <v>3</v>
      </c>
      <c r="C6" t="s">
        <v>150</v>
      </c>
      <c r="D6"/>
      <c r="E6" t="s">
        <v>0</v>
      </c>
      <c r="F6">
        <v>50000</v>
      </c>
      <c r="G6"/>
      <c r="H6"/>
      <c r="I6"/>
      <c r="J6"/>
      <c r="L6" t="s">
        <v>135</v>
      </c>
      <c r="M6"/>
      <c r="N6" s="2"/>
    </row>
    <row r="7" spans="1:15" x14ac:dyDescent="0.25">
      <c r="A7"/>
      <c r="B7">
        <v>4</v>
      </c>
      <c r="C7" t="s">
        <v>151</v>
      </c>
      <c r="D7"/>
      <c r="E7" t="s">
        <v>3</v>
      </c>
      <c r="F7">
        <v>130000</v>
      </c>
      <c r="G7"/>
      <c r="H7"/>
      <c r="I7"/>
      <c r="J7"/>
      <c r="L7" t="s">
        <v>134</v>
      </c>
      <c r="M7"/>
      <c r="N7" s="2"/>
    </row>
    <row r="8" spans="1:15" x14ac:dyDescent="0.25">
      <c r="A8"/>
      <c r="B8">
        <v>5</v>
      </c>
      <c r="C8" t="s">
        <v>246</v>
      </c>
      <c r="D8"/>
      <c r="E8" t="s">
        <v>3</v>
      </c>
      <c r="F8">
        <v>90870</v>
      </c>
      <c r="G8"/>
      <c r="H8"/>
      <c r="I8"/>
      <c r="J8"/>
      <c r="L8" t="s">
        <v>133</v>
      </c>
      <c r="M8"/>
      <c r="N8" s="2"/>
      <c r="O8" s="2"/>
    </row>
    <row r="9" spans="1:15" x14ac:dyDescent="0.25">
      <c r="A9"/>
      <c r="B9">
        <v>6</v>
      </c>
      <c r="C9" t="s">
        <v>152</v>
      </c>
      <c r="D9"/>
      <c r="E9" t="s">
        <v>5</v>
      </c>
      <c r="F9">
        <v>67800</v>
      </c>
      <c r="G9"/>
      <c r="H9"/>
      <c r="I9"/>
      <c r="J9"/>
      <c r="L9" t="s">
        <v>132</v>
      </c>
      <c r="M9">
        <f>AVERAGE(F4:F23,K18)</f>
        <v>107108.94736842105</v>
      </c>
      <c r="N9" s="2"/>
    </row>
    <row r="10" spans="1:15" x14ac:dyDescent="0.25">
      <c r="A10"/>
      <c r="B10">
        <v>7</v>
      </c>
      <c r="C10" t="s">
        <v>247</v>
      </c>
      <c r="D10"/>
      <c r="E10" t="s">
        <v>5</v>
      </c>
      <c r="F10">
        <v>45000</v>
      </c>
      <c r="G10"/>
      <c r="H10"/>
      <c r="I10"/>
      <c r="J10"/>
      <c r="L10"/>
      <c r="M10"/>
      <c r="N10" s="2"/>
    </row>
    <row r="11" spans="1:15" x14ac:dyDescent="0.25">
      <c r="A11"/>
      <c r="B11">
        <v>8</v>
      </c>
      <c r="C11" t="s">
        <v>153</v>
      </c>
      <c r="D11"/>
      <c r="E11" t="s">
        <v>5</v>
      </c>
      <c r="F11">
        <v>137000</v>
      </c>
      <c r="G11"/>
      <c r="H11"/>
      <c r="I11"/>
      <c r="J11"/>
      <c r="L11" t="s">
        <v>131</v>
      </c>
      <c r="M11"/>
      <c r="N11" s="2"/>
    </row>
    <row r="12" spans="1:15" x14ac:dyDescent="0.25">
      <c r="A12"/>
      <c r="B12">
        <v>9</v>
      </c>
      <c r="C12" t="s">
        <v>154</v>
      </c>
      <c r="D12"/>
      <c r="E12" t="s">
        <v>0</v>
      </c>
      <c r="F12">
        <v>23000</v>
      </c>
      <c r="G12"/>
      <c r="H12"/>
      <c r="I12"/>
      <c r="J12"/>
      <c r="L12" t="s">
        <v>130</v>
      </c>
      <c r="M12"/>
      <c r="N12" s="2"/>
    </row>
    <row r="13" spans="1:15" x14ac:dyDescent="0.25">
      <c r="A13"/>
      <c r="B13">
        <v>10</v>
      </c>
      <c r="C13" t="s">
        <v>155</v>
      </c>
      <c r="D13"/>
      <c r="E13" t="s">
        <v>3</v>
      </c>
      <c r="F13">
        <v>149000</v>
      </c>
      <c r="G13"/>
      <c r="H13"/>
      <c r="I13"/>
      <c r="J13"/>
      <c r="L13" t="s">
        <v>129</v>
      </c>
      <c r="M13">
        <f>COUNTBLANK(F4:F23)</f>
        <v>1</v>
      </c>
      <c r="N13" s="2"/>
    </row>
    <row r="14" spans="1:15" x14ac:dyDescent="0.25">
      <c r="A14"/>
      <c r="B14">
        <v>11</v>
      </c>
      <c r="C14" t="s">
        <v>156</v>
      </c>
      <c r="D14"/>
      <c r="E14" t="s">
        <v>0</v>
      </c>
      <c r="F14">
        <v>134000</v>
      </c>
      <c r="G14"/>
      <c r="H14"/>
      <c r="I14"/>
      <c r="J14"/>
      <c r="L14" t="s">
        <v>128</v>
      </c>
      <c r="M14">
        <f>COUNTA(F4:F23)</f>
        <v>19</v>
      </c>
      <c r="N14" s="2"/>
      <c r="O14" s="2"/>
    </row>
    <row r="15" spans="1:15" x14ac:dyDescent="0.25">
      <c r="A15"/>
      <c r="B15">
        <v>12</v>
      </c>
      <c r="C15" t="s">
        <v>157</v>
      </c>
      <c r="D15"/>
      <c r="E15" t="s">
        <v>5</v>
      </c>
      <c r="F15">
        <v>123000</v>
      </c>
      <c r="G15"/>
      <c r="H15"/>
      <c r="I15"/>
      <c r="J15"/>
      <c r="L15" t="s">
        <v>127</v>
      </c>
      <c r="M15">
        <f>COUNT(F4:F23)</f>
        <v>19</v>
      </c>
      <c r="N15" s="2"/>
    </row>
    <row r="16" spans="1:15" x14ac:dyDescent="0.25">
      <c r="A16"/>
      <c r="B16">
        <v>13</v>
      </c>
      <c r="C16" t="s">
        <v>158</v>
      </c>
      <c r="D16"/>
      <c r="E16" t="s">
        <v>3</v>
      </c>
      <c r="F16">
        <v>150000</v>
      </c>
      <c r="G16"/>
      <c r="H16"/>
      <c r="I16"/>
      <c r="J16"/>
      <c r="L16"/>
      <c r="M16"/>
      <c r="N16" s="2"/>
    </row>
    <row r="17" spans="1:14" x14ac:dyDescent="0.25">
      <c r="A17"/>
      <c r="B17">
        <v>14</v>
      </c>
      <c r="C17" t="s">
        <v>159</v>
      </c>
      <c r="D17"/>
      <c r="E17" t="s">
        <v>0</v>
      </c>
      <c r="F17">
        <v>150000</v>
      </c>
      <c r="G17"/>
      <c r="H17"/>
      <c r="I17"/>
      <c r="J17"/>
      <c r="L17" t="s">
        <v>5</v>
      </c>
      <c r="M17"/>
      <c r="N17" s="2"/>
    </row>
    <row r="18" spans="1:14" x14ac:dyDescent="0.25">
      <c r="A18"/>
      <c r="B18">
        <v>15</v>
      </c>
      <c r="C18" t="s">
        <v>160</v>
      </c>
      <c r="D18"/>
      <c r="E18" t="s">
        <v>0</v>
      </c>
      <c r="F18"/>
      <c r="G18"/>
      <c r="H18"/>
      <c r="I18"/>
      <c r="J18"/>
      <c r="L18" t="s">
        <v>126</v>
      </c>
      <c r="M18"/>
      <c r="N18" s="2"/>
    </row>
    <row r="19" spans="1:14" x14ac:dyDescent="0.25">
      <c r="A19"/>
      <c r="B19">
        <v>16</v>
      </c>
      <c r="C19" t="s">
        <v>161</v>
      </c>
      <c r="D19"/>
      <c r="E19" t="s">
        <v>5</v>
      </c>
      <c r="F19">
        <v>120000</v>
      </c>
      <c r="G19"/>
      <c r="H19"/>
      <c r="I19"/>
      <c r="J19"/>
      <c r="L19" t="s">
        <v>125</v>
      </c>
      <c r="M19"/>
      <c r="N19" s="2"/>
    </row>
    <row r="20" spans="1:14" x14ac:dyDescent="0.25">
      <c r="A20"/>
      <c r="B20">
        <v>17</v>
      </c>
      <c r="C20" t="s">
        <v>162</v>
      </c>
      <c r="D20"/>
      <c r="E20" t="s">
        <v>3</v>
      </c>
      <c r="F20">
        <v>87900</v>
      </c>
      <c r="G20"/>
      <c r="H20"/>
      <c r="I20"/>
      <c r="J20"/>
      <c r="L20" t="s">
        <v>124</v>
      </c>
      <c r="M20"/>
    </row>
    <row r="21" spans="1:14" x14ac:dyDescent="0.25">
      <c r="A21"/>
      <c r="B21">
        <v>18</v>
      </c>
      <c r="C21" t="s">
        <v>163</v>
      </c>
      <c r="D21"/>
      <c r="E21" t="s">
        <v>3</v>
      </c>
      <c r="F21">
        <v>123000</v>
      </c>
      <c r="G21"/>
      <c r="H21"/>
      <c r="I21"/>
      <c r="J21"/>
      <c r="L21" t="s">
        <v>123</v>
      </c>
      <c r="M21"/>
    </row>
    <row r="22" spans="1:14" x14ac:dyDescent="0.25">
      <c r="A22"/>
      <c r="B22">
        <v>19</v>
      </c>
      <c r="C22" t="s">
        <v>164</v>
      </c>
      <c r="D22"/>
      <c r="E22" t="s">
        <v>5</v>
      </c>
      <c r="F22">
        <v>76900</v>
      </c>
      <c r="G22"/>
      <c r="H22"/>
      <c r="I22"/>
      <c r="J22"/>
      <c r="L22"/>
      <c r="M22"/>
    </row>
    <row r="23" spans="1:14" x14ac:dyDescent="0.25">
      <c r="A23"/>
      <c r="B23">
        <v>20</v>
      </c>
      <c r="C23" t="s">
        <v>165</v>
      </c>
      <c r="D23"/>
      <c r="E23" t="s">
        <v>5</v>
      </c>
      <c r="F23">
        <v>143000</v>
      </c>
      <c r="G23"/>
      <c r="H23"/>
      <c r="I23"/>
      <c r="J23"/>
      <c r="L23" t="s">
        <v>3</v>
      </c>
      <c r="M23"/>
    </row>
    <row r="24" spans="1:14" x14ac:dyDescent="0.25">
      <c r="A24"/>
      <c r="B24">
        <v>21</v>
      </c>
      <c r="C24" t="s">
        <v>166</v>
      </c>
      <c r="D24"/>
      <c r="E24" t="s">
        <v>3</v>
      </c>
      <c r="F24">
        <v>63164.99</v>
      </c>
      <c r="G24"/>
      <c r="H24"/>
      <c r="I24"/>
      <c r="J24"/>
      <c r="L24" t="s">
        <v>126</v>
      </c>
      <c r="M24"/>
    </row>
    <row r="25" spans="1:14" x14ac:dyDescent="0.25">
      <c r="A25"/>
      <c r="B25">
        <v>22</v>
      </c>
      <c r="C25" t="s">
        <v>167</v>
      </c>
      <c r="D25"/>
      <c r="E25" t="s">
        <v>0</v>
      </c>
      <c r="F25">
        <v>56462.9</v>
      </c>
      <c r="G25"/>
      <c r="H25"/>
      <c r="I25"/>
      <c r="J25"/>
      <c r="L25" t="s">
        <v>125</v>
      </c>
      <c r="M25"/>
    </row>
    <row r="26" spans="1:14" x14ac:dyDescent="0.25">
      <c r="A26"/>
      <c r="B26">
        <v>23</v>
      </c>
      <c r="C26" t="s">
        <v>168</v>
      </c>
      <c r="D26"/>
      <c r="E26" t="s">
        <v>0</v>
      </c>
      <c r="F26">
        <v>124833.69</v>
      </c>
      <c r="G26"/>
      <c r="H26"/>
      <c r="I26"/>
      <c r="J26"/>
      <c r="L26" t="s">
        <v>124</v>
      </c>
      <c r="M26"/>
    </row>
    <row r="27" spans="1:14" x14ac:dyDescent="0.25">
      <c r="A27"/>
      <c r="B27">
        <v>24</v>
      </c>
      <c r="C27" t="s">
        <v>169</v>
      </c>
      <c r="D27"/>
      <c r="E27" t="s">
        <v>5</v>
      </c>
      <c r="F27">
        <v>145296.95000000001</v>
      </c>
      <c r="G27"/>
      <c r="H27"/>
      <c r="I27"/>
      <c r="J27"/>
      <c r="L27" t="s">
        <v>123</v>
      </c>
      <c r="M27"/>
    </row>
    <row r="28" spans="1:14" x14ac:dyDescent="0.25">
      <c r="A28"/>
      <c r="B28">
        <v>25</v>
      </c>
      <c r="C28" t="s">
        <v>170</v>
      </c>
      <c r="D28"/>
      <c r="E28" t="s">
        <v>5</v>
      </c>
      <c r="F28">
        <v>119426.48</v>
      </c>
      <c r="G28"/>
      <c r="H28"/>
      <c r="I28"/>
      <c r="J28"/>
      <c r="L28"/>
      <c r="M28"/>
    </row>
    <row r="29" spans="1:14" x14ac:dyDescent="0.25">
      <c r="A29"/>
      <c r="B29">
        <v>26</v>
      </c>
      <c r="C29" t="s">
        <v>171</v>
      </c>
      <c r="D29"/>
      <c r="E29" t="s">
        <v>0</v>
      </c>
      <c r="F29">
        <v>45886.42</v>
      </c>
      <c r="G29"/>
      <c r="H29"/>
      <c r="I29"/>
      <c r="J29"/>
      <c r="L29" t="s">
        <v>0</v>
      </c>
      <c r="M29"/>
    </row>
    <row r="30" spans="1:14" x14ac:dyDescent="0.25">
      <c r="A30"/>
      <c r="B30">
        <v>27</v>
      </c>
      <c r="C30" t="s">
        <v>172</v>
      </c>
      <c r="D30"/>
      <c r="E30" t="s">
        <v>0</v>
      </c>
      <c r="F30">
        <v>34517.78</v>
      </c>
      <c r="G30"/>
      <c r="H30"/>
      <c r="I30"/>
      <c r="J30"/>
      <c r="L30" t="s">
        <v>126</v>
      </c>
      <c r="M30"/>
    </row>
    <row r="31" spans="1:14" x14ac:dyDescent="0.25">
      <c r="A31"/>
      <c r="B31">
        <v>28</v>
      </c>
      <c r="C31" t="s">
        <v>173</v>
      </c>
      <c r="D31"/>
      <c r="E31" t="s">
        <v>0</v>
      </c>
      <c r="F31">
        <v>116094.75</v>
      </c>
      <c r="G31"/>
      <c r="H31"/>
      <c r="I31"/>
      <c r="J31"/>
      <c r="L31" t="s">
        <v>125</v>
      </c>
      <c r="M31"/>
    </row>
    <row r="32" spans="1:14" x14ac:dyDescent="0.25">
      <c r="A32"/>
      <c r="B32">
        <v>29</v>
      </c>
      <c r="C32" t="s">
        <v>174</v>
      </c>
      <c r="D32"/>
      <c r="E32" t="s">
        <v>0</v>
      </c>
      <c r="F32">
        <v>136297.87</v>
      </c>
      <c r="G32"/>
      <c r="H32"/>
      <c r="I32"/>
      <c r="J32"/>
      <c r="L32" t="s">
        <v>124</v>
      </c>
      <c r="M32"/>
    </row>
    <row r="33" spans="1:13" x14ac:dyDescent="0.25">
      <c r="A33"/>
      <c r="B33">
        <v>30</v>
      </c>
      <c r="C33" t="s">
        <v>175</v>
      </c>
      <c r="D33"/>
      <c r="E33" t="s">
        <v>3</v>
      </c>
      <c r="F33">
        <v>125685.48</v>
      </c>
      <c r="G33"/>
      <c r="H33"/>
      <c r="I33"/>
      <c r="J33"/>
      <c r="L33" t="s">
        <v>123</v>
      </c>
      <c r="M33"/>
    </row>
    <row r="34" spans="1:13" x14ac:dyDescent="0.25">
      <c r="A34"/>
      <c r="B34">
        <v>31</v>
      </c>
      <c r="C34" t="s">
        <v>176</v>
      </c>
      <c r="D34"/>
      <c r="E34" t="s">
        <v>3</v>
      </c>
      <c r="F34">
        <v>25611.040000000001</v>
      </c>
      <c r="G34"/>
      <c r="H34"/>
      <c r="I34"/>
      <c r="J34"/>
    </row>
    <row r="35" spans="1:13" x14ac:dyDescent="0.25">
      <c r="A35"/>
      <c r="B35">
        <v>32</v>
      </c>
      <c r="C35" t="s">
        <v>177</v>
      </c>
      <c r="D35"/>
      <c r="E35" t="s">
        <v>5</v>
      </c>
      <c r="F35">
        <v>37056.400000000001</v>
      </c>
      <c r="G35"/>
      <c r="H35"/>
      <c r="I35"/>
      <c r="J35"/>
    </row>
    <row r="36" spans="1:13" x14ac:dyDescent="0.25">
      <c r="A36"/>
      <c r="B36">
        <v>33</v>
      </c>
      <c r="C36" t="s">
        <v>178</v>
      </c>
      <c r="D36"/>
      <c r="E36" t="s">
        <v>0</v>
      </c>
      <c r="F36">
        <v>95169.27</v>
      </c>
      <c r="G36"/>
      <c r="H36"/>
      <c r="I36"/>
      <c r="J36"/>
    </row>
    <row r="37" spans="1:13" x14ac:dyDescent="0.25">
      <c r="A37"/>
      <c r="B37">
        <v>34</v>
      </c>
      <c r="C37" t="s">
        <v>179</v>
      </c>
      <c r="D37"/>
      <c r="E37" t="s">
        <v>0</v>
      </c>
      <c r="F37">
        <v>48529.43</v>
      </c>
      <c r="G37"/>
      <c r="H37"/>
      <c r="I37"/>
      <c r="J37"/>
    </row>
    <row r="38" spans="1:13" x14ac:dyDescent="0.25">
      <c r="A38"/>
      <c r="B38">
        <v>35</v>
      </c>
      <c r="C38" t="s">
        <v>180</v>
      </c>
      <c r="D38"/>
      <c r="E38" t="s">
        <v>0</v>
      </c>
      <c r="F38">
        <v>109955.46</v>
      </c>
      <c r="G38"/>
      <c r="H38"/>
      <c r="I38"/>
      <c r="J38"/>
    </row>
    <row r="39" spans="1:13" x14ac:dyDescent="0.25">
      <c r="A39"/>
      <c r="B39">
        <v>36</v>
      </c>
      <c r="C39" t="s">
        <v>181</v>
      </c>
      <c r="D39"/>
      <c r="E39" t="s">
        <v>0</v>
      </c>
      <c r="F39">
        <v>55678.14</v>
      </c>
      <c r="G39"/>
      <c r="H39"/>
      <c r="I39"/>
      <c r="J39"/>
    </row>
    <row r="40" spans="1:13" x14ac:dyDescent="0.25">
      <c r="A40"/>
      <c r="B40">
        <v>37</v>
      </c>
      <c r="C40" t="s">
        <v>182</v>
      </c>
      <c r="D40"/>
      <c r="E40" t="s">
        <v>3</v>
      </c>
      <c r="F40">
        <v>97153.84</v>
      </c>
      <c r="G40"/>
      <c r="H40"/>
      <c r="I40"/>
      <c r="J40"/>
    </row>
    <row r="41" spans="1:13" x14ac:dyDescent="0.25">
      <c r="A41"/>
      <c r="B41">
        <v>38</v>
      </c>
      <c r="C41" t="s">
        <v>183</v>
      </c>
      <c r="D41"/>
      <c r="E41" t="s">
        <v>0</v>
      </c>
      <c r="F41">
        <v>113703.46</v>
      </c>
      <c r="G41"/>
      <c r="H41"/>
      <c r="I41"/>
      <c r="J41"/>
    </row>
    <row r="42" spans="1:13" x14ac:dyDescent="0.25">
      <c r="A42"/>
      <c r="B42">
        <v>39</v>
      </c>
      <c r="C42" t="s">
        <v>184</v>
      </c>
      <c r="D42"/>
      <c r="E42" t="s">
        <v>5</v>
      </c>
      <c r="F42">
        <v>98853.83</v>
      </c>
      <c r="G42"/>
      <c r="H42"/>
      <c r="I42"/>
      <c r="J42"/>
    </row>
    <row r="43" spans="1:13" x14ac:dyDescent="0.25">
      <c r="A43"/>
      <c r="B43">
        <v>40</v>
      </c>
      <c r="C43" t="s">
        <v>185</v>
      </c>
      <c r="D43"/>
      <c r="E43" t="s">
        <v>0</v>
      </c>
      <c r="F43">
        <v>36138.65</v>
      </c>
      <c r="G43"/>
      <c r="H43"/>
      <c r="I43"/>
      <c r="J43"/>
    </row>
    <row r="44" spans="1:13" x14ac:dyDescent="0.25">
      <c r="A44"/>
      <c r="B44">
        <v>41</v>
      </c>
      <c r="C44" t="s">
        <v>186</v>
      </c>
      <c r="D44"/>
      <c r="E44" t="s">
        <v>3</v>
      </c>
      <c r="F44">
        <v>72770.84</v>
      </c>
      <c r="G44"/>
      <c r="H44"/>
      <c r="I44"/>
      <c r="J44"/>
    </row>
    <row r="45" spans="1:13" x14ac:dyDescent="0.25">
      <c r="A45"/>
      <c r="B45">
        <v>42</v>
      </c>
      <c r="C45" t="s">
        <v>187</v>
      </c>
      <c r="D45"/>
      <c r="E45" t="s">
        <v>0</v>
      </c>
      <c r="F45">
        <v>90885.35</v>
      </c>
      <c r="G45"/>
      <c r="H45"/>
      <c r="I45"/>
      <c r="J45"/>
    </row>
    <row r="46" spans="1:13" x14ac:dyDescent="0.25">
      <c r="A46"/>
      <c r="B46">
        <v>43</v>
      </c>
      <c r="C46" t="s">
        <v>188</v>
      </c>
      <c r="D46"/>
      <c r="E46" t="s">
        <v>5</v>
      </c>
      <c r="F46">
        <v>46280.19</v>
      </c>
      <c r="G46"/>
      <c r="H46"/>
      <c r="I46"/>
      <c r="J46"/>
    </row>
    <row r="47" spans="1:13" x14ac:dyDescent="0.25">
      <c r="A47"/>
      <c r="B47">
        <v>44</v>
      </c>
      <c r="C47" t="s">
        <v>189</v>
      </c>
      <c r="D47"/>
      <c r="E47" t="s">
        <v>5</v>
      </c>
      <c r="F47">
        <v>28029.3</v>
      </c>
      <c r="G47"/>
      <c r="H47"/>
      <c r="I47"/>
      <c r="J47"/>
    </row>
    <row r="48" spans="1:13" x14ac:dyDescent="0.25">
      <c r="A48"/>
      <c r="B48">
        <v>45</v>
      </c>
      <c r="C48" t="s">
        <v>190</v>
      </c>
      <c r="D48"/>
      <c r="E48" t="s">
        <v>3</v>
      </c>
      <c r="F48">
        <v>120518.71</v>
      </c>
      <c r="G48"/>
      <c r="H48"/>
      <c r="I48"/>
      <c r="J48"/>
    </row>
    <row r="49" spans="1:10" x14ac:dyDescent="0.25">
      <c r="A49"/>
      <c r="B49">
        <v>46</v>
      </c>
      <c r="C49" t="s">
        <v>191</v>
      </c>
      <c r="D49"/>
      <c r="E49" t="s">
        <v>0</v>
      </c>
      <c r="F49">
        <v>28990.53</v>
      </c>
      <c r="G49"/>
      <c r="H49"/>
      <c r="I49"/>
      <c r="J49"/>
    </row>
    <row r="50" spans="1:10" x14ac:dyDescent="0.25">
      <c r="A50"/>
      <c r="B50">
        <v>47</v>
      </c>
      <c r="C50" t="s">
        <v>192</v>
      </c>
      <c r="D50"/>
      <c r="E50" t="s">
        <v>0</v>
      </c>
      <c r="F50">
        <v>91799.31</v>
      </c>
      <c r="G50"/>
      <c r="H50"/>
      <c r="I50"/>
      <c r="J50"/>
    </row>
    <row r="51" spans="1:10" x14ac:dyDescent="0.25">
      <c r="A51"/>
      <c r="B51">
        <v>48</v>
      </c>
      <c r="C51" t="s">
        <v>193</v>
      </c>
      <c r="D51"/>
      <c r="E51" t="s">
        <v>0</v>
      </c>
      <c r="F51">
        <v>147115.21</v>
      </c>
      <c r="G51"/>
      <c r="H51"/>
      <c r="I51"/>
      <c r="J51"/>
    </row>
    <row r="52" spans="1:10" x14ac:dyDescent="0.25">
      <c r="A52"/>
      <c r="B52">
        <v>49</v>
      </c>
      <c r="C52" t="s">
        <v>194</v>
      </c>
      <c r="D52"/>
      <c r="E52" t="s">
        <v>5</v>
      </c>
      <c r="F52">
        <v>67459.490000000005</v>
      </c>
      <c r="G52"/>
      <c r="H52"/>
      <c r="I52"/>
      <c r="J52"/>
    </row>
    <row r="53" spans="1:10" x14ac:dyDescent="0.25">
      <c r="A53"/>
      <c r="B53">
        <v>50</v>
      </c>
      <c r="C53" t="s">
        <v>195</v>
      </c>
      <c r="D53"/>
      <c r="E53" t="s">
        <v>5</v>
      </c>
      <c r="F53">
        <v>140629.72</v>
      </c>
      <c r="G53"/>
      <c r="H53"/>
      <c r="I53"/>
      <c r="J53"/>
    </row>
    <row r="54" spans="1:10" x14ac:dyDescent="0.25">
      <c r="A54"/>
      <c r="B54">
        <v>51</v>
      </c>
      <c r="C54" t="s">
        <v>196</v>
      </c>
      <c r="D54"/>
      <c r="E54" t="s">
        <v>0</v>
      </c>
      <c r="F54">
        <v>129646.37</v>
      </c>
      <c r="G54"/>
      <c r="H54"/>
      <c r="I54"/>
      <c r="J54"/>
    </row>
    <row r="55" spans="1:10" x14ac:dyDescent="0.25">
      <c r="A55"/>
      <c r="B55">
        <v>52</v>
      </c>
      <c r="C55" t="s">
        <v>197</v>
      </c>
      <c r="D55"/>
      <c r="E55" t="s">
        <v>5</v>
      </c>
      <c r="F55">
        <v>26610.89</v>
      </c>
      <c r="G55"/>
      <c r="H55"/>
      <c r="I55"/>
      <c r="J55"/>
    </row>
    <row r="56" spans="1:10" x14ac:dyDescent="0.25">
      <c r="A56"/>
      <c r="B56">
        <v>53</v>
      </c>
      <c r="C56" t="s">
        <v>198</v>
      </c>
      <c r="D56"/>
      <c r="E56" t="s">
        <v>0</v>
      </c>
      <c r="F56">
        <v>89270.69</v>
      </c>
      <c r="G56"/>
      <c r="H56"/>
      <c r="I56"/>
      <c r="J56"/>
    </row>
    <row r="57" spans="1:10" x14ac:dyDescent="0.25">
      <c r="A57"/>
      <c r="B57">
        <v>54</v>
      </c>
      <c r="C57" t="s">
        <v>199</v>
      </c>
      <c r="D57"/>
      <c r="E57" t="s">
        <v>5</v>
      </c>
      <c r="F57">
        <v>120454.39999999999</v>
      </c>
      <c r="G57"/>
      <c r="H57"/>
      <c r="I57"/>
      <c r="J57"/>
    </row>
    <row r="58" spans="1:10" x14ac:dyDescent="0.25">
      <c r="A58"/>
      <c r="B58">
        <v>55</v>
      </c>
      <c r="C58" t="s">
        <v>200</v>
      </c>
      <c r="D58"/>
      <c r="E58" t="s">
        <v>3</v>
      </c>
      <c r="F58">
        <v>76953.23</v>
      </c>
      <c r="G58"/>
      <c r="H58"/>
      <c r="I58"/>
      <c r="J58"/>
    </row>
    <row r="59" spans="1:10" x14ac:dyDescent="0.25">
      <c r="A59"/>
      <c r="B59">
        <v>56</v>
      </c>
      <c r="C59" t="s">
        <v>201</v>
      </c>
      <c r="D59"/>
      <c r="E59" t="s">
        <v>0</v>
      </c>
      <c r="F59">
        <v>114262.25</v>
      </c>
      <c r="G59"/>
      <c r="H59"/>
      <c r="I59"/>
      <c r="J59"/>
    </row>
    <row r="60" spans="1:10" x14ac:dyDescent="0.25">
      <c r="A60"/>
      <c r="B60">
        <v>57</v>
      </c>
      <c r="C60" t="s">
        <v>202</v>
      </c>
      <c r="D60"/>
      <c r="E60" t="s">
        <v>3</v>
      </c>
      <c r="F60">
        <v>149155.10999999999</v>
      </c>
      <c r="G60"/>
      <c r="H60"/>
      <c r="I60"/>
      <c r="J60"/>
    </row>
    <row r="61" spans="1:10" x14ac:dyDescent="0.25">
      <c r="A61"/>
      <c r="B61">
        <v>58</v>
      </c>
      <c r="C61" t="s">
        <v>203</v>
      </c>
      <c r="D61"/>
      <c r="E61" t="s">
        <v>3</v>
      </c>
      <c r="F61">
        <v>55333.98</v>
      </c>
      <c r="G61"/>
      <c r="H61"/>
      <c r="I61"/>
      <c r="J61"/>
    </row>
    <row r="62" spans="1:10" x14ac:dyDescent="0.25">
      <c r="A62"/>
      <c r="B62">
        <v>59</v>
      </c>
      <c r="C62" t="s">
        <v>204</v>
      </c>
      <c r="D62"/>
      <c r="E62" t="s">
        <v>0</v>
      </c>
      <c r="F62">
        <v>96991.94</v>
      </c>
      <c r="G62"/>
      <c r="H62"/>
      <c r="I62"/>
      <c r="J62"/>
    </row>
    <row r="63" spans="1:10" x14ac:dyDescent="0.25">
      <c r="A63"/>
      <c r="B63">
        <v>60</v>
      </c>
      <c r="C63" t="s">
        <v>205</v>
      </c>
      <c r="D63"/>
      <c r="E63" t="s">
        <v>0</v>
      </c>
      <c r="F63">
        <v>46894.38</v>
      </c>
      <c r="G63"/>
      <c r="H63"/>
      <c r="I63"/>
      <c r="J63"/>
    </row>
    <row r="64" spans="1:10" x14ac:dyDescent="0.25">
      <c r="A64"/>
      <c r="B64">
        <v>61</v>
      </c>
      <c r="C64" t="s">
        <v>206</v>
      </c>
      <c r="D64"/>
      <c r="E64" t="s">
        <v>0</v>
      </c>
      <c r="F64">
        <v>24634.13</v>
      </c>
      <c r="G64"/>
      <c r="H64"/>
      <c r="I64"/>
      <c r="J64"/>
    </row>
    <row r="65" spans="1:10" x14ac:dyDescent="0.25">
      <c r="A65"/>
      <c r="B65">
        <v>62</v>
      </c>
      <c r="C65" t="s">
        <v>207</v>
      </c>
      <c r="D65"/>
      <c r="E65" t="s">
        <v>3</v>
      </c>
      <c r="F65">
        <v>41910.35</v>
      </c>
      <c r="G65"/>
      <c r="H65"/>
      <c r="I65"/>
      <c r="J65"/>
    </row>
    <row r="66" spans="1:10" x14ac:dyDescent="0.25">
      <c r="A66"/>
      <c r="B66">
        <v>63</v>
      </c>
      <c r="C66" t="s">
        <v>208</v>
      </c>
      <c r="D66"/>
      <c r="E66" t="s">
        <v>0</v>
      </c>
      <c r="F66">
        <v>63324.58</v>
      </c>
      <c r="G66"/>
      <c r="H66"/>
      <c r="I66"/>
      <c r="J66"/>
    </row>
    <row r="67" spans="1:10" x14ac:dyDescent="0.25">
      <c r="A67"/>
      <c r="B67">
        <v>64</v>
      </c>
      <c r="C67" t="s">
        <v>209</v>
      </c>
      <c r="D67"/>
      <c r="E67" t="s">
        <v>0</v>
      </c>
      <c r="F67">
        <v>26752.67</v>
      </c>
      <c r="G67"/>
      <c r="H67"/>
      <c r="I67"/>
      <c r="J67"/>
    </row>
    <row r="68" spans="1:10" x14ac:dyDescent="0.25">
      <c r="A68"/>
      <c r="B68">
        <v>65</v>
      </c>
      <c r="C68" t="s">
        <v>210</v>
      </c>
      <c r="D68"/>
      <c r="E68" t="s">
        <v>0</v>
      </c>
      <c r="F68">
        <v>54047.27</v>
      </c>
      <c r="G68"/>
      <c r="H68"/>
      <c r="I68"/>
      <c r="J68"/>
    </row>
    <row r="69" spans="1:10" x14ac:dyDescent="0.25">
      <c r="A69"/>
      <c r="B69">
        <v>66</v>
      </c>
      <c r="C69" t="s">
        <v>211</v>
      </c>
      <c r="D69"/>
      <c r="E69" t="s">
        <v>0</v>
      </c>
      <c r="F69">
        <v>77390.64</v>
      </c>
      <c r="G69"/>
      <c r="H69"/>
      <c r="I69"/>
      <c r="J69"/>
    </row>
    <row r="70" spans="1:10" x14ac:dyDescent="0.25">
      <c r="A70"/>
      <c r="B70">
        <v>67</v>
      </c>
      <c r="C70" t="s">
        <v>212</v>
      </c>
      <c r="D70"/>
      <c r="E70" t="s">
        <v>3</v>
      </c>
      <c r="F70">
        <v>76402.11</v>
      </c>
      <c r="G70"/>
      <c r="H70"/>
      <c r="I70"/>
      <c r="J70"/>
    </row>
    <row r="71" spans="1:10" x14ac:dyDescent="0.25">
      <c r="A71"/>
      <c r="B71">
        <v>68</v>
      </c>
      <c r="C71" t="s">
        <v>213</v>
      </c>
      <c r="D71"/>
      <c r="E71" t="s">
        <v>5</v>
      </c>
      <c r="F71">
        <v>38295.68</v>
      </c>
      <c r="G71"/>
      <c r="H71"/>
      <c r="I71"/>
      <c r="J71"/>
    </row>
    <row r="72" spans="1:10" x14ac:dyDescent="0.25">
      <c r="A72"/>
      <c r="B72">
        <v>69</v>
      </c>
      <c r="C72" t="s">
        <v>214</v>
      </c>
      <c r="D72"/>
      <c r="E72" t="s">
        <v>5</v>
      </c>
      <c r="F72">
        <v>96700.79</v>
      </c>
      <c r="G72"/>
      <c r="H72"/>
      <c r="I72"/>
      <c r="J72"/>
    </row>
    <row r="73" spans="1:10" x14ac:dyDescent="0.25">
      <c r="A73"/>
      <c r="B73">
        <v>70</v>
      </c>
      <c r="C73" t="s">
        <v>215</v>
      </c>
      <c r="D73"/>
      <c r="E73" t="s">
        <v>0</v>
      </c>
      <c r="F73">
        <v>120889.55</v>
      </c>
      <c r="G73"/>
      <c r="H73"/>
      <c r="I73"/>
      <c r="J73"/>
    </row>
    <row r="74" spans="1:10" x14ac:dyDescent="0.25">
      <c r="A74"/>
      <c r="B74">
        <v>71</v>
      </c>
      <c r="C74" t="s">
        <v>216</v>
      </c>
      <c r="D74"/>
      <c r="E74" t="s">
        <v>5</v>
      </c>
      <c r="F74">
        <v>43032.97</v>
      </c>
      <c r="G74"/>
      <c r="H74"/>
      <c r="I74"/>
      <c r="J74"/>
    </row>
    <row r="75" spans="1:10" x14ac:dyDescent="0.25">
      <c r="A75"/>
      <c r="B75">
        <v>72</v>
      </c>
      <c r="C75" t="s">
        <v>217</v>
      </c>
      <c r="D75"/>
      <c r="E75" t="s">
        <v>3</v>
      </c>
      <c r="F75">
        <v>129267.52</v>
      </c>
      <c r="G75"/>
      <c r="H75"/>
      <c r="I75"/>
      <c r="J75"/>
    </row>
    <row r="76" spans="1:10" x14ac:dyDescent="0.25">
      <c r="A76"/>
      <c r="B76">
        <v>73</v>
      </c>
      <c r="C76" t="s">
        <v>218</v>
      </c>
      <c r="D76"/>
      <c r="E76" t="s">
        <v>5</v>
      </c>
      <c r="F76">
        <v>141574.04999999999</v>
      </c>
      <c r="G76"/>
      <c r="H76"/>
      <c r="I76"/>
      <c r="J76"/>
    </row>
    <row r="77" spans="1:10" x14ac:dyDescent="0.25">
      <c r="A77"/>
      <c r="B77">
        <v>74</v>
      </c>
      <c r="C77" t="s">
        <v>219</v>
      </c>
      <c r="D77"/>
      <c r="E77" t="s">
        <v>0</v>
      </c>
      <c r="F77">
        <v>149513.03</v>
      </c>
      <c r="G77"/>
      <c r="H77"/>
      <c r="I77"/>
      <c r="J77"/>
    </row>
    <row r="78" spans="1:10" x14ac:dyDescent="0.25">
      <c r="A78"/>
      <c r="B78">
        <v>75</v>
      </c>
      <c r="C78" t="s">
        <v>220</v>
      </c>
      <c r="D78"/>
      <c r="E78" t="s">
        <v>5</v>
      </c>
      <c r="F78">
        <v>52964.72</v>
      </c>
      <c r="G78"/>
      <c r="H78"/>
      <c r="I78"/>
      <c r="J78"/>
    </row>
    <row r="79" spans="1:10" x14ac:dyDescent="0.25">
      <c r="A79"/>
      <c r="B79">
        <v>76</v>
      </c>
      <c r="C79" t="s">
        <v>221</v>
      </c>
      <c r="D79"/>
      <c r="E79" t="s">
        <v>3</v>
      </c>
      <c r="F79"/>
      <c r="G79"/>
      <c r="H79"/>
      <c r="I79"/>
      <c r="J79"/>
    </row>
    <row r="80" spans="1:10" x14ac:dyDescent="0.25">
      <c r="A80"/>
      <c r="B80">
        <v>77</v>
      </c>
      <c r="C80" t="s">
        <v>222</v>
      </c>
      <c r="D80"/>
      <c r="E80" t="s">
        <v>5</v>
      </c>
      <c r="F80">
        <v>70293.990000000005</v>
      </c>
      <c r="G80"/>
      <c r="H80"/>
      <c r="I80"/>
      <c r="J80"/>
    </row>
    <row r="81" spans="1:10" x14ac:dyDescent="0.25">
      <c r="A81"/>
      <c r="B81">
        <v>78</v>
      </c>
      <c r="C81" t="s">
        <v>223</v>
      </c>
      <c r="D81"/>
      <c r="E81" t="s">
        <v>3</v>
      </c>
      <c r="F81">
        <v>36053.93</v>
      </c>
      <c r="G81"/>
      <c r="H81"/>
      <c r="I81"/>
      <c r="J81"/>
    </row>
    <row r="82" spans="1:10" x14ac:dyDescent="0.25">
      <c r="A82"/>
      <c r="B82">
        <v>79</v>
      </c>
      <c r="C82" t="s">
        <v>224</v>
      </c>
      <c r="D82"/>
      <c r="E82" t="s">
        <v>0</v>
      </c>
      <c r="F82">
        <v>147826.98000000001</v>
      </c>
      <c r="G82"/>
      <c r="H82"/>
      <c r="I82"/>
      <c r="J82"/>
    </row>
    <row r="83" spans="1:10" x14ac:dyDescent="0.25">
      <c r="A83"/>
      <c r="B83">
        <v>80</v>
      </c>
      <c r="C83" t="s">
        <v>225</v>
      </c>
      <c r="D83"/>
      <c r="E83" t="s">
        <v>3</v>
      </c>
      <c r="F83">
        <v>130148.84</v>
      </c>
      <c r="G83"/>
      <c r="H83"/>
      <c r="I83"/>
      <c r="J83"/>
    </row>
    <row r="84" spans="1:10" x14ac:dyDescent="0.25">
      <c r="A84"/>
      <c r="B84">
        <v>81</v>
      </c>
      <c r="C84" t="s">
        <v>226</v>
      </c>
      <c r="D84"/>
      <c r="E84" t="s">
        <v>3</v>
      </c>
      <c r="F84">
        <v>41897.980000000003</v>
      </c>
      <c r="G84"/>
      <c r="H84"/>
      <c r="I84"/>
      <c r="J84"/>
    </row>
    <row r="85" spans="1:10" x14ac:dyDescent="0.25">
      <c r="A85"/>
      <c r="B85">
        <v>82</v>
      </c>
      <c r="C85" t="s">
        <v>227</v>
      </c>
      <c r="D85"/>
      <c r="E85" t="s">
        <v>3</v>
      </c>
      <c r="F85">
        <v>91677.02</v>
      </c>
      <c r="G85"/>
      <c r="H85"/>
      <c r="I85"/>
      <c r="J85"/>
    </row>
    <row r="86" spans="1:10" x14ac:dyDescent="0.25">
      <c r="A86"/>
      <c r="B86">
        <v>83</v>
      </c>
      <c r="C86" t="s">
        <v>228</v>
      </c>
      <c r="D86"/>
      <c r="E86" t="s">
        <v>3</v>
      </c>
      <c r="F86">
        <v>56979.8</v>
      </c>
      <c r="G86"/>
      <c r="H86"/>
      <c r="I86"/>
      <c r="J86"/>
    </row>
    <row r="87" spans="1:10" x14ac:dyDescent="0.25">
      <c r="A87"/>
      <c r="B87">
        <v>84</v>
      </c>
      <c r="C87" t="s">
        <v>229</v>
      </c>
      <c r="D87"/>
      <c r="E87" t="s">
        <v>0</v>
      </c>
      <c r="F87">
        <v>105778.74</v>
      </c>
      <c r="G87"/>
      <c r="H87"/>
      <c r="I87"/>
      <c r="J87"/>
    </row>
    <row r="88" spans="1:10" x14ac:dyDescent="0.25">
      <c r="A88"/>
      <c r="B88">
        <v>85</v>
      </c>
      <c r="C88" t="s">
        <v>230</v>
      </c>
      <c r="D88"/>
      <c r="E88" t="s">
        <v>0</v>
      </c>
      <c r="F88">
        <v>78934.429999999993</v>
      </c>
      <c r="G88"/>
      <c r="H88"/>
      <c r="I88"/>
      <c r="J88"/>
    </row>
    <row r="89" spans="1:10" x14ac:dyDescent="0.25">
      <c r="A89"/>
      <c r="B89">
        <v>86</v>
      </c>
      <c r="C89" t="s">
        <v>231</v>
      </c>
      <c r="D89"/>
      <c r="E89" t="s">
        <v>3</v>
      </c>
      <c r="F89">
        <v>105426.69</v>
      </c>
      <c r="G89"/>
      <c r="H89"/>
      <c r="I89"/>
      <c r="J89"/>
    </row>
    <row r="90" spans="1:10" x14ac:dyDescent="0.25">
      <c r="A90"/>
      <c r="B90">
        <v>87</v>
      </c>
      <c r="C90" t="s">
        <v>232</v>
      </c>
      <c r="D90"/>
      <c r="E90" t="s">
        <v>5</v>
      </c>
      <c r="F90">
        <v>129068.42</v>
      </c>
      <c r="G90"/>
      <c r="H90"/>
      <c r="I90"/>
      <c r="J90"/>
    </row>
    <row r="91" spans="1:10" x14ac:dyDescent="0.25">
      <c r="A91"/>
      <c r="B91">
        <v>88</v>
      </c>
      <c r="C91" t="s">
        <v>233</v>
      </c>
      <c r="D91"/>
      <c r="E91" t="s">
        <v>3</v>
      </c>
      <c r="F91">
        <v>75718.52</v>
      </c>
      <c r="G91"/>
      <c r="H91"/>
      <c r="I91"/>
      <c r="J91"/>
    </row>
    <row r="92" spans="1:10" x14ac:dyDescent="0.25">
      <c r="A92"/>
      <c r="B92">
        <v>89</v>
      </c>
      <c r="C92" t="s">
        <v>234</v>
      </c>
      <c r="D92"/>
      <c r="E92" t="s">
        <v>3</v>
      </c>
      <c r="F92">
        <v>144562.81</v>
      </c>
      <c r="G92"/>
      <c r="H92"/>
      <c r="I92"/>
      <c r="J92"/>
    </row>
    <row r="93" spans="1:10" x14ac:dyDescent="0.25">
      <c r="A93"/>
      <c r="B93">
        <v>90</v>
      </c>
      <c r="C93" t="s">
        <v>235</v>
      </c>
      <c r="D93"/>
      <c r="E93" t="s">
        <v>3</v>
      </c>
      <c r="F93">
        <v>132090.73000000001</v>
      </c>
      <c r="G93"/>
      <c r="H93"/>
      <c r="I93"/>
      <c r="J93"/>
    </row>
    <row r="94" spans="1:10" x14ac:dyDescent="0.25">
      <c r="A94"/>
      <c r="B94">
        <v>91</v>
      </c>
      <c r="C94" t="s">
        <v>236</v>
      </c>
      <c r="D94"/>
      <c r="E94" t="s">
        <v>0</v>
      </c>
      <c r="F94">
        <v>75970.38</v>
      </c>
      <c r="G94"/>
      <c r="H94"/>
      <c r="I94"/>
      <c r="J94"/>
    </row>
    <row r="95" spans="1:10" x14ac:dyDescent="0.25">
      <c r="A95"/>
      <c r="B95">
        <v>92</v>
      </c>
      <c r="C95" t="s">
        <v>237</v>
      </c>
      <c r="D95"/>
      <c r="E95" t="s">
        <v>3</v>
      </c>
      <c r="F95">
        <v>64038.73</v>
      </c>
      <c r="G95"/>
      <c r="H95"/>
      <c r="I95"/>
      <c r="J95"/>
    </row>
    <row r="96" spans="1:10" x14ac:dyDescent="0.25">
      <c r="A96"/>
      <c r="B96">
        <v>93</v>
      </c>
      <c r="C96" t="s">
        <v>238</v>
      </c>
      <c r="D96"/>
      <c r="E96" t="s">
        <v>3</v>
      </c>
      <c r="F96">
        <v>68581.919999999998</v>
      </c>
      <c r="G96"/>
      <c r="H96"/>
      <c r="I96"/>
      <c r="J96"/>
    </row>
    <row r="97" spans="1:10" x14ac:dyDescent="0.25">
      <c r="A97"/>
      <c r="B97">
        <v>94</v>
      </c>
      <c r="C97" t="s">
        <v>239</v>
      </c>
      <c r="D97"/>
      <c r="E97" t="s">
        <v>0</v>
      </c>
      <c r="F97">
        <v>60153.04</v>
      </c>
      <c r="G97"/>
      <c r="H97"/>
      <c r="I97"/>
      <c r="J97"/>
    </row>
    <row r="98" spans="1:10" x14ac:dyDescent="0.25">
      <c r="A98"/>
      <c r="B98">
        <v>95</v>
      </c>
      <c r="C98" t="s">
        <v>240</v>
      </c>
      <c r="D98"/>
      <c r="E98" t="s">
        <v>5</v>
      </c>
      <c r="F98">
        <v>112410.53</v>
      </c>
      <c r="G98"/>
      <c r="H98"/>
      <c r="I98"/>
      <c r="J98"/>
    </row>
    <row r="99" spans="1:10" x14ac:dyDescent="0.25">
      <c r="A99"/>
      <c r="B99">
        <v>96</v>
      </c>
      <c r="C99" t="s">
        <v>241</v>
      </c>
      <c r="D99"/>
      <c r="E99" t="s">
        <v>0</v>
      </c>
      <c r="F99">
        <v>47374.46</v>
      </c>
      <c r="G99"/>
      <c r="H99"/>
      <c r="I99"/>
      <c r="J99"/>
    </row>
    <row r="100" spans="1:10" x14ac:dyDescent="0.25">
      <c r="A100"/>
      <c r="B100">
        <v>97</v>
      </c>
      <c r="C100" t="s">
        <v>242</v>
      </c>
      <c r="D100"/>
      <c r="E100" t="s">
        <v>3</v>
      </c>
      <c r="F100">
        <v>70116.570000000007</v>
      </c>
      <c r="G100"/>
      <c r="H100"/>
      <c r="I100"/>
      <c r="J100"/>
    </row>
    <row r="101" spans="1:10" x14ac:dyDescent="0.25">
      <c r="A101"/>
      <c r="B101">
        <v>98</v>
      </c>
      <c r="C101" t="s">
        <v>243</v>
      </c>
      <c r="D101"/>
      <c r="E101" t="s">
        <v>5</v>
      </c>
      <c r="F101">
        <v>84769.59</v>
      </c>
      <c r="G101"/>
      <c r="H101"/>
      <c r="I101"/>
      <c r="J101"/>
    </row>
    <row r="102" spans="1:10" x14ac:dyDescent="0.25">
      <c r="A102"/>
      <c r="B102">
        <v>99</v>
      </c>
      <c r="C102" t="s">
        <v>244</v>
      </c>
      <c r="D102"/>
      <c r="E102" t="s">
        <v>0</v>
      </c>
      <c r="F102">
        <v>43599.54</v>
      </c>
      <c r="G102"/>
      <c r="H102"/>
      <c r="I102"/>
      <c r="J102"/>
    </row>
    <row r="103" spans="1:10" x14ac:dyDescent="0.25">
      <c r="A103"/>
      <c r="B103">
        <v>100</v>
      </c>
      <c r="C103" t="s">
        <v>245</v>
      </c>
      <c r="D103"/>
      <c r="E103" t="s">
        <v>0</v>
      </c>
      <c r="F103">
        <v>58736.12</v>
      </c>
      <c r="G103"/>
      <c r="H103"/>
      <c r="I103"/>
      <c r="J103"/>
    </row>
    <row r="104" spans="1:10" x14ac:dyDescent="0.25">
      <c r="A104"/>
      <c r="B104">
        <v>101</v>
      </c>
      <c r="C104" t="s">
        <v>122</v>
      </c>
      <c r="D104"/>
      <c r="E104" t="s">
        <v>5</v>
      </c>
      <c r="F104">
        <v>143578.38</v>
      </c>
      <c r="G104"/>
      <c r="H104"/>
      <c r="I104"/>
      <c r="J104"/>
    </row>
    <row r="105" spans="1:10" x14ac:dyDescent="0.25">
      <c r="A105"/>
      <c r="B105">
        <v>102</v>
      </c>
      <c r="C105" t="s">
        <v>121</v>
      </c>
      <c r="D105"/>
      <c r="E105" t="s">
        <v>3</v>
      </c>
      <c r="F105">
        <v>126361.64</v>
      </c>
      <c r="G105"/>
      <c r="H105"/>
      <c r="I105"/>
      <c r="J105"/>
    </row>
    <row r="106" spans="1:10" x14ac:dyDescent="0.25">
      <c r="A106"/>
      <c r="B106">
        <v>103</v>
      </c>
      <c r="C106" t="s">
        <v>120</v>
      </c>
      <c r="D106"/>
      <c r="E106" t="s">
        <v>3</v>
      </c>
      <c r="F106">
        <v>145228.44</v>
      </c>
      <c r="G106"/>
      <c r="H106"/>
      <c r="I106"/>
      <c r="J106"/>
    </row>
    <row r="107" spans="1:10" x14ac:dyDescent="0.25">
      <c r="A107"/>
      <c r="B107">
        <v>104</v>
      </c>
      <c r="C107" t="s">
        <v>119</v>
      </c>
      <c r="D107"/>
      <c r="E107" t="s">
        <v>0</v>
      </c>
      <c r="F107">
        <v>47946.97</v>
      </c>
      <c r="G107"/>
      <c r="H107"/>
      <c r="I107"/>
      <c r="J107"/>
    </row>
    <row r="108" spans="1:10" x14ac:dyDescent="0.25">
      <c r="A108"/>
      <c r="B108">
        <v>105</v>
      </c>
      <c r="C108" t="s">
        <v>118</v>
      </c>
      <c r="D108"/>
      <c r="E108" t="s">
        <v>5</v>
      </c>
      <c r="F108">
        <v>52409.25</v>
      </c>
      <c r="G108"/>
      <c r="H108"/>
      <c r="I108"/>
      <c r="J108"/>
    </row>
    <row r="109" spans="1:10" x14ac:dyDescent="0.25">
      <c r="A109"/>
      <c r="B109">
        <v>106</v>
      </c>
      <c r="C109" t="s">
        <v>117</v>
      </c>
      <c r="D109"/>
      <c r="E109" t="s">
        <v>0</v>
      </c>
      <c r="F109">
        <v>125611.34</v>
      </c>
      <c r="G109"/>
      <c r="H109"/>
      <c r="I109"/>
      <c r="J109"/>
    </row>
    <row r="110" spans="1:10" x14ac:dyDescent="0.25">
      <c r="A110"/>
      <c r="B110">
        <v>107</v>
      </c>
      <c r="C110" t="s">
        <v>116</v>
      </c>
      <c r="D110"/>
      <c r="E110" t="s">
        <v>0</v>
      </c>
      <c r="F110">
        <v>53778.879999999997</v>
      </c>
      <c r="G110"/>
      <c r="H110"/>
      <c r="I110"/>
      <c r="J110"/>
    </row>
    <row r="111" spans="1:10" x14ac:dyDescent="0.25">
      <c r="A111"/>
      <c r="B111">
        <v>108</v>
      </c>
      <c r="C111" t="s">
        <v>115</v>
      </c>
      <c r="D111"/>
      <c r="E111" t="s">
        <v>0</v>
      </c>
      <c r="F111">
        <v>76969.490000000005</v>
      </c>
      <c r="G111"/>
      <c r="H111"/>
      <c r="I111"/>
      <c r="J111"/>
    </row>
    <row r="112" spans="1:10" x14ac:dyDescent="0.25">
      <c r="A112"/>
      <c r="B112">
        <v>109</v>
      </c>
      <c r="C112" t="s">
        <v>114</v>
      </c>
      <c r="D112"/>
      <c r="E112" t="s">
        <v>0</v>
      </c>
      <c r="F112">
        <v>122014.31</v>
      </c>
      <c r="G112"/>
      <c r="H112"/>
      <c r="I112"/>
      <c r="J112"/>
    </row>
    <row r="113" spans="1:10" x14ac:dyDescent="0.25">
      <c r="A113"/>
      <c r="B113">
        <v>110</v>
      </c>
      <c r="C113" t="s">
        <v>113</v>
      </c>
      <c r="D113"/>
      <c r="E113" t="s">
        <v>0</v>
      </c>
      <c r="F113">
        <v>32109.71</v>
      </c>
      <c r="G113"/>
      <c r="H113"/>
      <c r="I113"/>
      <c r="J113"/>
    </row>
    <row r="114" spans="1:10" x14ac:dyDescent="0.25">
      <c r="A114"/>
      <c r="B114">
        <v>111</v>
      </c>
      <c r="C114" t="s">
        <v>112</v>
      </c>
      <c r="D114"/>
      <c r="E114" t="s">
        <v>5</v>
      </c>
      <c r="F114">
        <v>135201.22</v>
      </c>
      <c r="G114"/>
      <c r="H114"/>
      <c r="I114"/>
      <c r="J114"/>
    </row>
    <row r="115" spans="1:10" x14ac:dyDescent="0.25">
      <c r="A115"/>
      <c r="B115">
        <v>112</v>
      </c>
      <c r="C115" t="s">
        <v>111</v>
      </c>
      <c r="D115"/>
      <c r="E115" t="s">
        <v>5</v>
      </c>
      <c r="F115">
        <v>120303.13</v>
      </c>
      <c r="G115"/>
      <c r="H115"/>
      <c r="I115"/>
      <c r="J115"/>
    </row>
    <row r="116" spans="1:10" x14ac:dyDescent="0.25">
      <c r="A116"/>
      <c r="B116">
        <v>113</v>
      </c>
      <c r="C116" t="s">
        <v>110</v>
      </c>
      <c r="D116"/>
      <c r="E116" t="s">
        <v>3</v>
      </c>
      <c r="F116">
        <v>33461.550000000003</v>
      </c>
      <c r="G116"/>
      <c r="H116"/>
      <c r="I116"/>
      <c r="J116"/>
    </row>
    <row r="117" spans="1:10" x14ac:dyDescent="0.25">
      <c r="A117"/>
      <c r="B117">
        <v>114</v>
      </c>
      <c r="C117" t="s">
        <v>109</v>
      </c>
      <c r="D117"/>
      <c r="E117" t="s">
        <v>3</v>
      </c>
      <c r="F117">
        <v>22226.63</v>
      </c>
      <c r="G117"/>
      <c r="H117"/>
      <c r="I117"/>
      <c r="J117"/>
    </row>
    <row r="118" spans="1:10" x14ac:dyDescent="0.25">
      <c r="A118"/>
      <c r="B118">
        <v>115</v>
      </c>
      <c r="C118" t="s">
        <v>108</v>
      </c>
      <c r="D118"/>
      <c r="E118" t="s">
        <v>3</v>
      </c>
      <c r="F118"/>
      <c r="G118"/>
      <c r="H118"/>
      <c r="I118"/>
      <c r="J118"/>
    </row>
    <row r="119" spans="1:10" x14ac:dyDescent="0.25">
      <c r="A119"/>
      <c r="B119">
        <v>116</v>
      </c>
      <c r="C119" t="s">
        <v>107</v>
      </c>
      <c r="D119"/>
      <c r="E119" t="s">
        <v>3</v>
      </c>
      <c r="F119">
        <v>110998.85</v>
      </c>
      <c r="G119"/>
      <c r="H119"/>
      <c r="I119"/>
      <c r="J119"/>
    </row>
    <row r="120" spans="1:10" x14ac:dyDescent="0.25">
      <c r="A120"/>
      <c r="B120">
        <v>117</v>
      </c>
      <c r="C120" t="s">
        <v>106</v>
      </c>
      <c r="D120"/>
      <c r="E120" t="s">
        <v>0</v>
      </c>
      <c r="F120">
        <v>95978.93</v>
      </c>
      <c r="G120"/>
      <c r="H120"/>
      <c r="I120"/>
      <c r="J120"/>
    </row>
    <row r="121" spans="1:10" x14ac:dyDescent="0.25">
      <c r="A121"/>
      <c r="B121">
        <v>118</v>
      </c>
      <c r="C121" t="s">
        <v>105</v>
      </c>
      <c r="D121"/>
      <c r="E121" t="s">
        <v>3</v>
      </c>
      <c r="F121">
        <v>66139.58</v>
      </c>
      <c r="G121"/>
      <c r="H121"/>
      <c r="I121"/>
      <c r="J121"/>
    </row>
    <row r="122" spans="1:10" x14ac:dyDescent="0.25">
      <c r="A122"/>
      <c r="B122">
        <v>119</v>
      </c>
      <c r="C122" t="s">
        <v>104</v>
      </c>
      <c r="D122"/>
      <c r="E122" t="s">
        <v>0</v>
      </c>
      <c r="F122">
        <v>114231.62</v>
      </c>
      <c r="G122"/>
      <c r="H122"/>
      <c r="I122"/>
      <c r="J122"/>
    </row>
    <row r="123" spans="1:10" x14ac:dyDescent="0.25">
      <c r="A123"/>
      <c r="B123">
        <v>120</v>
      </c>
      <c r="C123" t="s">
        <v>103</v>
      </c>
      <c r="D123"/>
      <c r="E123" t="s">
        <v>0</v>
      </c>
      <c r="F123">
        <v>90690.04</v>
      </c>
      <c r="G123"/>
      <c r="H123"/>
      <c r="I123"/>
      <c r="J123"/>
    </row>
    <row r="124" spans="1:10" x14ac:dyDescent="0.25">
      <c r="A124"/>
      <c r="B124">
        <v>121</v>
      </c>
      <c r="C124" t="s">
        <v>102</v>
      </c>
      <c r="D124"/>
      <c r="E124" t="s">
        <v>5</v>
      </c>
      <c r="F124">
        <v>123031.47</v>
      </c>
      <c r="G124"/>
      <c r="H124"/>
      <c r="I124"/>
      <c r="J124"/>
    </row>
    <row r="125" spans="1:10" x14ac:dyDescent="0.25">
      <c r="A125"/>
      <c r="B125">
        <v>122</v>
      </c>
      <c r="C125" t="s">
        <v>101</v>
      </c>
      <c r="D125"/>
      <c r="E125" t="s">
        <v>0</v>
      </c>
      <c r="F125">
        <v>32953.89</v>
      </c>
      <c r="G125"/>
      <c r="H125"/>
      <c r="I125"/>
      <c r="J125"/>
    </row>
    <row r="126" spans="1:10" x14ac:dyDescent="0.25">
      <c r="A126"/>
      <c r="B126">
        <v>123</v>
      </c>
      <c r="C126" t="s">
        <v>100</v>
      </c>
      <c r="D126"/>
      <c r="E126" t="s">
        <v>0</v>
      </c>
      <c r="F126">
        <v>54490.1</v>
      </c>
      <c r="G126"/>
      <c r="H126"/>
      <c r="I126"/>
      <c r="J126"/>
    </row>
    <row r="127" spans="1:10" x14ac:dyDescent="0.25">
      <c r="A127"/>
      <c r="B127">
        <v>124</v>
      </c>
      <c r="C127" t="s">
        <v>99</v>
      </c>
      <c r="D127"/>
      <c r="E127" t="s">
        <v>0</v>
      </c>
      <c r="F127">
        <v>136159.75</v>
      </c>
      <c r="G127"/>
      <c r="H127"/>
      <c r="I127"/>
      <c r="J127"/>
    </row>
    <row r="128" spans="1:10" x14ac:dyDescent="0.25">
      <c r="A128"/>
      <c r="B128">
        <v>125</v>
      </c>
      <c r="C128" t="s">
        <v>98</v>
      </c>
      <c r="D128"/>
      <c r="E128" t="s">
        <v>0</v>
      </c>
      <c r="F128">
        <v>84865.78</v>
      </c>
      <c r="G128"/>
      <c r="H128"/>
      <c r="I128"/>
      <c r="J128"/>
    </row>
    <row r="129" spans="1:10" x14ac:dyDescent="0.25">
      <c r="A129"/>
      <c r="B129">
        <v>126</v>
      </c>
      <c r="C129" t="s">
        <v>97</v>
      </c>
      <c r="D129"/>
      <c r="E129" t="s">
        <v>0</v>
      </c>
      <c r="F129">
        <v>117393.74</v>
      </c>
      <c r="G129"/>
      <c r="H129"/>
      <c r="I129"/>
      <c r="J129"/>
    </row>
    <row r="130" spans="1:10" x14ac:dyDescent="0.25">
      <c r="A130"/>
      <c r="B130">
        <v>127</v>
      </c>
      <c r="C130" t="s">
        <v>96</v>
      </c>
      <c r="D130"/>
      <c r="E130" t="s">
        <v>0</v>
      </c>
      <c r="F130">
        <v>142623.1</v>
      </c>
      <c r="G130"/>
      <c r="H130"/>
      <c r="I130"/>
      <c r="J130"/>
    </row>
    <row r="131" spans="1:10" x14ac:dyDescent="0.25">
      <c r="A131"/>
      <c r="B131">
        <v>128</v>
      </c>
      <c r="C131" t="s">
        <v>95</v>
      </c>
      <c r="D131"/>
      <c r="E131" t="s">
        <v>5</v>
      </c>
      <c r="F131">
        <v>52075.18</v>
      </c>
      <c r="G131"/>
      <c r="H131"/>
      <c r="I131"/>
      <c r="J131"/>
    </row>
    <row r="132" spans="1:10" x14ac:dyDescent="0.25">
      <c r="A132"/>
      <c r="B132">
        <v>129</v>
      </c>
      <c r="C132" t="s">
        <v>94</v>
      </c>
      <c r="D132"/>
      <c r="E132" t="s">
        <v>5</v>
      </c>
      <c r="F132">
        <v>125373.97</v>
      </c>
      <c r="G132"/>
      <c r="H132"/>
      <c r="I132"/>
      <c r="J132"/>
    </row>
    <row r="133" spans="1:10" x14ac:dyDescent="0.25">
      <c r="A133"/>
      <c r="B133">
        <v>130</v>
      </c>
      <c r="C133" t="s">
        <v>93</v>
      </c>
      <c r="D133"/>
      <c r="E133" t="s">
        <v>3</v>
      </c>
      <c r="F133">
        <v>120997.56</v>
      </c>
      <c r="G133"/>
      <c r="H133"/>
      <c r="I133"/>
      <c r="J133"/>
    </row>
    <row r="134" spans="1:10" x14ac:dyDescent="0.25">
      <c r="A134"/>
      <c r="B134">
        <v>131</v>
      </c>
      <c r="C134" t="s">
        <v>92</v>
      </c>
      <c r="D134"/>
      <c r="E134" t="s">
        <v>0</v>
      </c>
      <c r="F134">
        <v>23111.1</v>
      </c>
      <c r="G134"/>
      <c r="H134"/>
      <c r="I134"/>
      <c r="J134"/>
    </row>
    <row r="135" spans="1:10" x14ac:dyDescent="0.25">
      <c r="A135"/>
      <c r="B135">
        <v>132</v>
      </c>
      <c r="C135" t="s">
        <v>91</v>
      </c>
      <c r="D135"/>
      <c r="E135" t="s">
        <v>0</v>
      </c>
      <c r="F135">
        <v>75411.39</v>
      </c>
      <c r="G135"/>
      <c r="H135"/>
      <c r="I135"/>
      <c r="J135"/>
    </row>
    <row r="136" spans="1:10" x14ac:dyDescent="0.25">
      <c r="A136"/>
      <c r="B136">
        <v>133</v>
      </c>
      <c r="C136" t="s">
        <v>90</v>
      </c>
      <c r="D136"/>
      <c r="E136" t="s">
        <v>3</v>
      </c>
      <c r="F136">
        <v>51155.71</v>
      </c>
      <c r="G136"/>
      <c r="H136"/>
      <c r="I136"/>
      <c r="J136"/>
    </row>
    <row r="137" spans="1:10" x14ac:dyDescent="0.25">
      <c r="A137"/>
      <c r="B137">
        <v>134</v>
      </c>
      <c r="C137" t="s">
        <v>89</v>
      </c>
      <c r="D137"/>
      <c r="E137" t="s">
        <v>3</v>
      </c>
      <c r="F137">
        <v>42137.41</v>
      </c>
      <c r="G137"/>
      <c r="H137"/>
      <c r="I137"/>
      <c r="J137"/>
    </row>
    <row r="138" spans="1:10" x14ac:dyDescent="0.25">
      <c r="A138"/>
      <c r="B138">
        <v>135</v>
      </c>
      <c r="C138" t="s">
        <v>88</v>
      </c>
      <c r="D138"/>
      <c r="E138" t="s">
        <v>0</v>
      </c>
      <c r="F138">
        <v>23028.7</v>
      </c>
      <c r="G138"/>
      <c r="H138"/>
      <c r="I138"/>
      <c r="J138"/>
    </row>
    <row r="139" spans="1:10" x14ac:dyDescent="0.25">
      <c r="A139"/>
      <c r="B139">
        <v>136</v>
      </c>
      <c r="C139" t="s">
        <v>87</v>
      </c>
      <c r="D139"/>
      <c r="E139" t="s">
        <v>3</v>
      </c>
      <c r="F139">
        <v>90242.62</v>
      </c>
      <c r="G139"/>
      <c r="H139"/>
      <c r="I139"/>
      <c r="J139"/>
    </row>
    <row r="140" spans="1:10" x14ac:dyDescent="0.25">
      <c r="A140"/>
      <c r="B140">
        <v>137</v>
      </c>
      <c r="C140" t="s">
        <v>86</v>
      </c>
      <c r="D140"/>
      <c r="E140" t="s">
        <v>3</v>
      </c>
      <c r="F140">
        <v>107488.04</v>
      </c>
      <c r="G140"/>
      <c r="H140"/>
      <c r="I140"/>
      <c r="J140"/>
    </row>
    <row r="141" spans="1:10" x14ac:dyDescent="0.25">
      <c r="A141"/>
      <c r="B141">
        <v>138</v>
      </c>
      <c r="C141" t="s">
        <v>85</v>
      </c>
      <c r="D141"/>
      <c r="E141" t="s">
        <v>3</v>
      </c>
      <c r="F141">
        <v>109705.84</v>
      </c>
      <c r="G141"/>
      <c r="H141"/>
      <c r="I141"/>
      <c r="J141"/>
    </row>
    <row r="142" spans="1:10" x14ac:dyDescent="0.25">
      <c r="A142"/>
      <c r="B142">
        <v>139</v>
      </c>
      <c r="C142" t="s">
        <v>84</v>
      </c>
      <c r="D142"/>
      <c r="E142" t="s">
        <v>3</v>
      </c>
      <c r="F142">
        <v>25097.77</v>
      </c>
      <c r="G142"/>
      <c r="H142"/>
      <c r="I142"/>
      <c r="J142"/>
    </row>
    <row r="143" spans="1:10" x14ac:dyDescent="0.25">
      <c r="A143"/>
      <c r="B143">
        <v>140</v>
      </c>
      <c r="C143" t="s">
        <v>83</v>
      </c>
      <c r="D143"/>
      <c r="E143" t="s">
        <v>0</v>
      </c>
      <c r="F143">
        <v>47536.34</v>
      </c>
      <c r="G143"/>
      <c r="H143"/>
      <c r="I143"/>
      <c r="J143"/>
    </row>
    <row r="144" spans="1:10" x14ac:dyDescent="0.25">
      <c r="A144"/>
      <c r="B144">
        <v>141</v>
      </c>
      <c r="C144" t="s">
        <v>82</v>
      </c>
      <c r="D144"/>
      <c r="E144" t="s">
        <v>5</v>
      </c>
      <c r="F144">
        <v>26394.35</v>
      </c>
      <c r="G144"/>
      <c r="H144"/>
      <c r="I144"/>
      <c r="J144"/>
    </row>
    <row r="145" spans="1:10" x14ac:dyDescent="0.25">
      <c r="A145"/>
      <c r="B145">
        <v>142</v>
      </c>
      <c r="C145" t="s">
        <v>81</v>
      </c>
      <c r="D145"/>
      <c r="E145" t="s">
        <v>3</v>
      </c>
      <c r="F145">
        <v>96793.96</v>
      </c>
      <c r="G145"/>
      <c r="H145"/>
      <c r="I145"/>
      <c r="J145"/>
    </row>
    <row r="146" spans="1:10" x14ac:dyDescent="0.25">
      <c r="A146"/>
      <c r="B146">
        <v>143</v>
      </c>
      <c r="C146" t="s">
        <v>80</v>
      </c>
      <c r="D146"/>
      <c r="E146" t="s">
        <v>5</v>
      </c>
      <c r="F146">
        <v>42656.34</v>
      </c>
      <c r="G146"/>
      <c r="H146"/>
      <c r="I146"/>
      <c r="J146"/>
    </row>
    <row r="147" spans="1:10" x14ac:dyDescent="0.25">
      <c r="A147"/>
      <c r="B147">
        <v>144</v>
      </c>
      <c r="C147" t="s">
        <v>79</v>
      </c>
      <c r="D147"/>
      <c r="E147" t="s">
        <v>5</v>
      </c>
      <c r="F147"/>
      <c r="G147"/>
      <c r="H147"/>
      <c r="I147"/>
      <c r="J147"/>
    </row>
    <row r="148" spans="1:10" x14ac:dyDescent="0.25">
      <c r="A148"/>
      <c r="B148">
        <v>145</v>
      </c>
      <c r="C148" t="s">
        <v>78</v>
      </c>
      <c r="D148"/>
      <c r="E148" t="s">
        <v>3</v>
      </c>
      <c r="F148">
        <v>109205.14</v>
      </c>
      <c r="G148"/>
      <c r="H148"/>
      <c r="I148"/>
      <c r="J148"/>
    </row>
    <row r="149" spans="1:10" x14ac:dyDescent="0.25">
      <c r="A149"/>
      <c r="B149">
        <v>146</v>
      </c>
      <c r="C149" t="s">
        <v>77</v>
      </c>
      <c r="D149"/>
      <c r="E149" t="s">
        <v>0</v>
      </c>
      <c r="F149">
        <v>43185.84</v>
      </c>
      <c r="G149"/>
      <c r="H149"/>
      <c r="I149"/>
      <c r="J149"/>
    </row>
    <row r="150" spans="1:10" x14ac:dyDescent="0.25">
      <c r="A150"/>
      <c r="B150">
        <v>147</v>
      </c>
      <c r="C150" t="s">
        <v>76</v>
      </c>
      <c r="D150"/>
      <c r="E150" t="s">
        <v>0</v>
      </c>
      <c r="F150">
        <v>83342.080000000002</v>
      </c>
      <c r="G150"/>
      <c r="H150"/>
      <c r="I150"/>
      <c r="J150"/>
    </row>
    <row r="151" spans="1:10" x14ac:dyDescent="0.25">
      <c r="A151"/>
      <c r="B151">
        <v>148</v>
      </c>
      <c r="C151" t="s">
        <v>75</v>
      </c>
      <c r="D151"/>
      <c r="E151" t="s">
        <v>0</v>
      </c>
      <c r="F151">
        <v>125462.29</v>
      </c>
      <c r="G151"/>
      <c r="H151"/>
      <c r="I151"/>
      <c r="J151"/>
    </row>
    <row r="152" spans="1:10" x14ac:dyDescent="0.25">
      <c r="A152"/>
      <c r="B152">
        <v>149</v>
      </c>
      <c r="C152" t="s">
        <v>74</v>
      </c>
      <c r="D152"/>
      <c r="E152" t="s">
        <v>5</v>
      </c>
      <c r="F152">
        <v>149265.4</v>
      </c>
      <c r="G152"/>
      <c r="H152"/>
      <c r="I152"/>
      <c r="J152"/>
    </row>
    <row r="153" spans="1:10" x14ac:dyDescent="0.25">
      <c r="A153"/>
      <c r="B153">
        <v>150</v>
      </c>
      <c r="C153" t="s">
        <v>73</v>
      </c>
      <c r="D153"/>
      <c r="E153" t="s">
        <v>0</v>
      </c>
      <c r="F153">
        <v>40007.050000000003</v>
      </c>
      <c r="G153"/>
      <c r="H153"/>
      <c r="I153"/>
      <c r="J153"/>
    </row>
    <row r="154" spans="1:10" x14ac:dyDescent="0.25">
      <c r="A154"/>
      <c r="B154">
        <v>151</v>
      </c>
      <c r="C154" t="s">
        <v>72</v>
      </c>
      <c r="D154"/>
      <c r="E154" t="s">
        <v>3</v>
      </c>
      <c r="F154">
        <v>91447.06</v>
      </c>
      <c r="G154"/>
      <c r="H154"/>
      <c r="I154"/>
      <c r="J154"/>
    </row>
    <row r="155" spans="1:10" x14ac:dyDescent="0.25">
      <c r="A155"/>
      <c r="B155">
        <v>152</v>
      </c>
      <c r="C155" t="s">
        <v>71</v>
      </c>
      <c r="D155"/>
      <c r="E155" t="s">
        <v>3</v>
      </c>
      <c r="F155">
        <v>118288.82</v>
      </c>
      <c r="G155"/>
      <c r="H155"/>
      <c r="I155"/>
      <c r="J155"/>
    </row>
    <row r="156" spans="1:10" x14ac:dyDescent="0.25">
      <c r="A156"/>
      <c r="B156">
        <v>153</v>
      </c>
      <c r="C156" t="s">
        <v>70</v>
      </c>
      <c r="D156"/>
      <c r="E156" t="s">
        <v>5</v>
      </c>
      <c r="F156">
        <v>112804.87</v>
      </c>
      <c r="G156"/>
      <c r="H156"/>
      <c r="I156"/>
      <c r="J156"/>
    </row>
    <row r="157" spans="1:10" x14ac:dyDescent="0.25">
      <c r="A157"/>
      <c r="B157">
        <v>154</v>
      </c>
      <c r="C157" t="s">
        <v>69</v>
      </c>
      <c r="D157"/>
      <c r="E157" t="s">
        <v>5</v>
      </c>
      <c r="F157">
        <v>144462.07999999999</v>
      </c>
      <c r="G157"/>
      <c r="H157"/>
      <c r="I157"/>
      <c r="J157"/>
    </row>
    <row r="158" spans="1:10" x14ac:dyDescent="0.25">
      <c r="A158"/>
      <c r="B158">
        <v>155</v>
      </c>
      <c r="C158" t="s">
        <v>68</v>
      </c>
      <c r="D158"/>
      <c r="E158" t="s">
        <v>0</v>
      </c>
      <c r="F158">
        <v>144064.43</v>
      </c>
      <c r="G158"/>
      <c r="H158"/>
      <c r="I158"/>
      <c r="J158"/>
    </row>
    <row r="159" spans="1:10" x14ac:dyDescent="0.25">
      <c r="A159"/>
      <c r="B159">
        <v>156</v>
      </c>
      <c r="C159" t="s">
        <v>67</v>
      </c>
      <c r="D159"/>
      <c r="E159" t="s">
        <v>5</v>
      </c>
      <c r="F159">
        <v>106471.63</v>
      </c>
      <c r="G159"/>
      <c r="H159"/>
      <c r="I159"/>
      <c r="J159"/>
    </row>
    <row r="160" spans="1:10" x14ac:dyDescent="0.25">
      <c r="A160"/>
      <c r="B160">
        <v>157</v>
      </c>
      <c r="C160" t="s">
        <v>66</v>
      </c>
      <c r="D160"/>
      <c r="E160" t="s">
        <v>3</v>
      </c>
      <c r="F160">
        <v>96996.07</v>
      </c>
      <c r="G160"/>
      <c r="H160"/>
      <c r="I160"/>
      <c r="J160"/>
    </row>
    <row r="161" spans="1:10" x14ac:dyDescent="0.25">
      <c r="A161"/>
      <c r="B161">
        <v>158</v>
      </c>
      <c r="C161" t="s">
        <v>65</v>
      </c>
      <c r="D161"/>
      <c r="E161" t="s">
        <v>5</v>
      </c>
      <c r="F161">
        <v>36672.83</v>
      </c>
      <c r="G161"/>
      <c r="H161"/>
      <c r="I161"/>
      <c r="J161"/>
    </row>
    <row r="162" spans="1:10" x14ac:dyDescent="0.25">
      <c r="A162"/>
      <c r="B162">
        <v>159</v>
      </c>
      <c r="C162" t="s">
        <v>64</v>
      </c>
      <c r="D162"/>
      <c r="E162" t="s">
        <v>0</v>
      </c>
      <c r="F162">
        <v>121753.16</v>
      </c>
      <c r="G162"/>
      <c r="H162"/>
      <c r="I162"/>
      <c r="J162"/>
    </row>
    <row r="163" spans="1:10" x14ac:dyDescent="0.25">
      <c r="A163"/>
      <c r="B163">
        <v>160</v>
      </c>
      <c r="C163" t="s">
        <v>63</v>
      </c>
      <c r="D163"/>
      <c r="E163" t="s">
        <v>0</v>
      </c>
      <c r="F163">
        <v>32806.44</v>
      </c>
      <c r="G163"/>
      <c r="H163"/>
      <c r="I163"/>
      <c r="J163"/>
    </row>
    <row r="164" spans="1:10" x14ac:dyDescent="0.25">
      <c r="A164"/>
      <c r="B164">
        <v>161</v>
      </c>
      <c r="C164" t="s">
        <v>62</v>
      </c>
      <c r="D164"/>
      <c r="E164" t="s">
        <v>5</v>
      </c>
      <c r="F164">
        <v>27406.75</v>
      </c>
      <c r="G164"/>
      <c r="H164"/>
      <c r="I164"/>
      <c r="J164"/>
    </row>
    <row r="165" spans="1:10" x14ac:dyDescent="0.25">
      <c r="A165"/>
      <c r="B165">
        <v>162</v>
      </c>
      <c r="C165" t="s">
        <v>61</v>
      </c>
      <c r="D165"/>
      <c r="E165" t="s">
        <v>3</v>
      </c>
      <c r="F165">
        <v>63676.67</v>
      </c>
      <c r="G165"/>
      <c r="H165"/>
      <c r="I165"/>
      <c r="J165"/>
    </row>
    <row r="166" spans="1:10" x14ac:dyDescent="0.25">
      <c r="A166"/>
      <c r="B166">
        <v>163</v>
      </c>
      <c r="C166" t="s">
        <v>60</v>
      </c>
      <c r="D166"/>
      <c r="E166" t="s">
        <v>0</v>
      </c>
      <c r="F166">
        <v>119368.28</v>
      </c>
      <c r="G166"/>
      <c r="H166"/>
      <c r="I166"/>
      <c r="J166"/>
    </row>
    <row r="167" spans="1:10" x14ac:dyDescent="0.25">
      <c r="A167"/>
      <c r="B167">
        <v>164</v>
      </c>
      <c r="C167" t="s">
        <v>59</v>
      </c>
      <c r="D167"/>
      <c r="E167" t="s">
        <v>5</v>
      </c>
      <c r="F167">
        <v>38801.19</v>
      </c>
      <c r="G167"/>
      <c r="H167"/>
      <c r="I167"/>
      <c r="J167"/>
    </row>
    <row r="168" spans="1:10" x14ac:dyDescent="0.25">
      <c r="A168"/>
      <c r="B168">
        <v>165</v>
      </c>
      <c r="C168" t="s">
        <v>58</v>
      </c>
      <c r="D168"/>
      <c r="E168" t="s">
        <v>5</v>
      </c>
      <c r="F168">
        <v>139740.71</v>
      </c>
      <c r="G168"/>
      <c r="H168"/>
      <c r="I168"/>
      <c r="J168"/>
    </row>
    <row r="169" spans="1:10" x14ac:dyDescent="0.25">
      <c r="A169"/>
      <c r="B169">
        <v>166</v>
      </c>
      <c r="C169" t="s">
        <v>57</v>
      </c>
      <c r="D169"/>
      <c r="E169" t="s">
        <v>3</v>
      </c>
      <c r="F169">
        <v>144497.68</v>
      </c>
      <c r="G169"/>
      <c r="H169"/>
      <c r="I169"/>
      <c r="J169"/>
    </row>
    <row r="170" spans="1:10" x14ac:dyDescent="0.25">
      <c r="A170"/>
      <c r="B170">
        <v>167</v>
      </c>
      <c r="C170" t="s">
        <v>56</v>
      </c>
      <c r="D170"/>
      <c r="E170" t="s">
        <v>0</v>
      </c>
      <c r="F170">
        <v>126703.19</v>
      </c>
      <c r="G170"/>
      <c r="H170"/>
      <c r="I170"/>
      <c r="J170"/>
    </row>
    <row r="171" spans="1:10" x14ac:dyDescent="0.25">
      <c r="A171"/>
      <c r="B171">
        <v>168</v>
      </c>
      <c r="C171" t="s">
        <v>55</v>
      </c>
      <c r="D171"/>
      <c r="E171" t="s">
        <v>0</v>
      </c>
      <c r="F171">
        <v>37926.75</v>
      </c>
      <c r="G171"/>
      <c r="H171"/>
      <c r="I171"/>
      <c r="J171"/>
    </row>
    <row r="172" spans="1:10" x14ac:dyDescent="0.25">
      <c r="A172"/>
      <c r="B172">
        <v>169</v>
      </c>
      <c r="C172" t="s">
        <v>54</v>
      </c>
      <c r="D172"/>
      <c r="E172" t="s">
        <v>0</v>
      </c>
      <c r="F172">
        <v>45810.46</v>
      </c>
      <c r="G172"/>
      <c r="H172"/>
      <c r="I172"/>
      <c r="J172"/>
    </row>
    <row r="173" spans="1:10" x14ac:dyDescent="0.25">
      <c r="A173"/>
      <c r="B173">
        <v>170</v>
      </c>
      <c r="C173" t="s">
        <v>53</v>
      </c>
      <c r="D173"/>
      <c r="E173" t="s">
        <v>3</v>
      </c>
      <c r="F173">
        <v>100283.09</v>
      </c>
      <c r="G173"/>
      <c r="H173"/>
      <c r="I173"/>
      <c r="J173"/>
    </row>
    <row r="174" spans="1:10" x14ac:dyDescent="0.25">
      <c r="A174"/>
      <c r="B174">
        <v>171</v>
      </c>
      <c r="C174" t="s">
        <v>52</v>
      </c>
      <c r="D174"/>
      <c r="E174" t="s">
        <v>5</v>
      </c>
      <c r="F174">
        <v>59375.91</v>
      </c>
      <c r="G174"/>
      <c r="H174"/>
      <c r="I174"/>
      <c r="J174"/>
    </row>
    <row r="175" spans="1:10" x14ac:dyDescent="0.25">
      <c r="A175"/>
      <c r="B175">
        <v>172</v>
      </c>
      <c r="C175" t="s">
        <v>51</v>
      </c>
      <c r="D175"/>
      <c r="E175" t="s">
        <v>3</v>
      </c>
      <c r="F175">
        <v>46478.19</v>
      </c>
      <c r="G175"/>
      <c r="H175"/>
      <c r="I175"/>
      <c r="J175"/>
    </row>
    <row r="176" spans="1:10" x14ac:dyDescent="0.25">
      <c r="A176"/>
      <c r="B176">
        <v>173</v>
      </c>
      <c r="C176" t="s">
        <v>50</v>
      </c>
      <c r="D176"/>
      <c r="E176" t="s">
        <v>0</v>
      </c>
      <c r="F176">
        <v>147607.60999999999</v>
      </c>
      <c r="G176"/>
      <c r="H176"/>
      <c r="I176"/>
      <c r="J176"/>
    </row>
    <row r="177" spans="1:10" x14ac:dyDescent="0.25">
      <c r="A177"/>
      <c r="B177">
        <v>174</v>
      </c>
      <c r="C177" t="s">
        <v>49</v>
      </c>
      <c r="D177"/>
      <c r="E177" t="s">
        <v>0</v>
      </c>
      <c r="F177">
        <v>63916.85</v>
      </c>
      <c r="G177"/>
      <c r="H177"/>
      <c r="I177"/>
      <c r="J177"/>
    </row>
    <row r="178" spans="1:10" x14ac:dyDescent="0.25">
      <c r="A178"/>
      <c r="B178">
        <v>175</v>
      </c>
      <c r="C178" t="s">
        <v>48</v>
      </c>
      <c r="D178"/>
      <c r="E178" t="s">
        <v>3</v>
      </c>
      <c r="F178">
        <v>42366.76</v>
      </c>
      <c r="G178"/>
      <c r="H178"/>
      <c r="I178"/>
      <c r="J178"/>
    </row>
    <row r="179" spans="1:10" x14ac:dyDescent="0.25">
      <c r="A179"/>
      <c r="B179">
        <v>176</v>
      </c>
      <c r="C179" t="s">
        <v>47</v>
      </c>
      <c r="D179"/>
      <c r="E179" t="s">
        <v>3</v>
      </c>
      <c r="F179">
        <v>47562</v>
      </c>
      <c r="G179"/>
      <c r="H179"/>
      <c r="I179"/>
      <c r="J179"/>
    </row>
    <row r="180" spans="1:10" x14ac:dyDescent="0.25">
      <c r="A180"/>
      <c r="B180">
        <v>177</v>
      </c>
      <c r="C180" t="s">
        <v>46</v>
      </c>
      <c r="D180"/>
      <c r="E180" t="s">
        <v>3</v>
      </c>
      <c r="F180">
        <v>89916.73</v>
      </c>
      <c r="G180"/>
      <c r="H180"/>
      <c r="I180"/>
      <c r="J180"/>
    </row>
    <row r="181" spans="1:10" x14ac:dyDescent="0.25">
      <c r="A181"/>
      <c r="B181">
        <v>178</v>
      </c>
      <c r="C181" t="s">
        <v>45</v>
      </c>
      <c r="D181"/>
      <c r="E181" t="s">
        <v>0</v>
      </c>
      <c r="F181">
        <v>126237.66</v>
      </c>
      <c r="G181"/>
      <c r="H181"/>
      <c r="I181"/>
      <c r="J181"/>
    </row>
    <row r="182" spans="1:10" x14ac:dyDescent="0.25">
      <c r="A182"/>
      <c r="B182">
        <v>179</v>
      </c>
      <c r="C182" t="s">
        <v>44</v>
      </c>
      <c r="D182"/>
      <c r="E182" t="s">
        <v>3</v>
      </c>
      <c r="F182">
        <v>149452.56</v>
      </c>
      <c r="G182"/>
      <c r="H182"/>
      <c r="I182"/>
      <c r="J182"/>
    </row>
    <row r="183" spans="1:10" x14ac:dyDescent="0.25">
      <c r="A183"/>
      <c r="B183">
        <v>180</v>
      </c>
      <c r="C183" t="s">
        <v>43</v>
      </c>
      <c r="D183"/>
      <c r="E183" t="s">
        <v>5</v>
      </c>
      <c r="F183">
        <v>33756.71</v>
      </c>
      <c r="G183"/>
      <c r="H183"/>
      <c r="I183"/>
      <c r="J183"/>
    </row>
    <row r="184" spans="1:10" x14ac:dyDescent="0.25">
      <c r="A184"/>
      <c r="B184">
        <v>181</v>
      </c>
      <c r="C184" t="s">
        <v>42</v>
      </c>
      <c r="D184"/>
      <c r="E184" t="s">
        <v>0</v>
      </c>
      <c r="F184">
        <v>81333.039999999994</v>
      </c>
      <c r="G184"/>
      <c r="H184"/>
      <c r="I184"/>
      <c r="J184"/>
    </row>
    <row r="185" spans="1:10" x14ac:dyDescent="0.25">
      <c r="A185"/>
      <c r="B185">
        <v>182</v>
      </c>
      <c r="C185" t="s">
        <v>41</v>
      </c>
      <c r="D185"/>
      <c r="E185" t="s">
        <v>0</v>
      </c>
      <c r="F185">
        <v>110918.94</v>
      </c>
      <c r="G185"/>
      <c r="H185"/>
      <c r="I185"/>
      <c r="J185"/>
    </row>
    <row r="186" spans="1:10" x14ac:dyDescent="0.25">
      <c r="A186"/>
      <c r="B186">
        <v>183</v>
      </c>
      <c r="C186" t="s">
        <v>40</v>
      </c>
      <c r="D186"/>
      <c r="E186" t="s">
        <v>0</v>
      </c>
      <c r="F186">
        <v>74990.22</v>
      </c>
      <c r="G186"/>
      <c r="H186"/>
      <c r="I186"/>
      <c r="J186"/>
    </row>
    <row r="187" spans="1:10" x14ac:dyDescent="0.25">
      <c r="A187"/>
      <c r="B187">
        <v>184</v>
      </c>
      <c r="C187" t="s">
        <v>39</v>
      </c>
      <c r="D187"/>
      <c r="E187" t="s">
        <v>5</v>
      </c>
      <c r="F187">
        <v>51789.25</v>
      </c>
      <c r="G187"/>
      <c r="H187"/>
      <c r="I187"/>
      <c r="J187"/>
    </row>
    <row r="188" spans="1:10" x14ac:dyDescent="0.25">
      <c r="A188"/>
      <c r="B188">
        <v>185</v>
      </c>
      <c r="C188" t="s">
        <v>38</v>
      </c>
      <c r="D188"/>
      <c r="E188" t="s">
        <v>0</v>
      </c>
      <c r="F188">
        <v>62587.54</v>
      </c>
      <c r="G188"/>
      <c r="H188"/>
      <c r="I188"/>
      <c r="J188"/>
    </row>
    <row r="189" spans="1:10" x14ac:dyDescent="0.25">
      <c r="A189"/>
      <c r="B189">
        <v>186</v>
      </c>
      <c r="C189" t="s">
        <v>37</v>
      </c>
      <c r="D189"/>
      <c r="E189" t="s">
        <v>5</v>
      </c>
      <c r="F189">
        <v>63527.5</v>
      </c>
      <c r="G189"/>
      <c r="H189"/>
      <c r="I189"/>
      <c r="J189"/>
    </row>
    <row r="190" spans="1:10" x14ac:dyDescent="0.25">
      <c r="A190"/>
      <c r="B190">
        <v>187</v>
      </c>
      <c r="C190" t="s">
        <v>36</v>
      </c>
      <c r="D190"/>
      <c r="E190" t="s">
        <v>5</v>
      </c>
      <c r="F190">
        <v>134897.09</v>
      </c>
      <c r="G190"/>
      <c r="H190"/>
      <c r="I190"/>
      <c r="J190"/>
    </row>
    <row r="191" spans="1:10" x14ac:dyDescent="0.25">
      <c r="A191"/>
      <c r="B191">
        <v>188</v>
      </c>
      <c r="C191" t="s">
        <v>35</v>
      </c>
      <c r="D191"/>
      <c r="E191" t="s">
        <v>5</v>
      </c>
      <c r="F191">
        <v>105714.33</v>
      </c>
      <c r="G191"/>
      <c r="H191"/>
      <c r="I191"/>
      <c r="J191"/>
    </row>
    <row r="192" spans="1:10" x14ac:dyDescent="0.25">
      <c r="A192"/>
      <c r="B192">
        <v>189</v>
      </c>
      <c r="C192" t="s">
        <v>34</v>
      </c>
      <c r="D192"/>
      <c r="E192" t="s">
        <v>5</v>
      </c>
      <c r="F192">
        <v>58971.5</v>
      </c>
      <c r="G192"/>
      <c r="H192"/>
      <c r="I192"/>
      <c r="J192"/>
    </row>
    <row r="193" spans="1:10" x14ac:dyDescent="0.25">
      <c r="A193"/>
      <c r="B193">
        <v>190</v>
      </c>
      <c r="C193" t="s">
        <v>33</v>
      </c>
      <c r="D193"/>
      <c r="E193" t="s">
        <v>5</v>
      </c>
      <c r="F193">
        <v>107156.92</v>
      </c>
      <c r="G193"/>
      <c r="H193"/>
      <c r="I193"/>
      <c r="J193"/>
    </row>
    <row r="194" spans="1:10" x14ac:dyDescent="0.25">
      <c r="A194"/>
      <c r="B194">
        <v>191</v>
      </c>
      <c r="C194" t="s">
        <v>32</v>
      </c>
      <c r="D194"/>
      <c r="E194" t="s">
        <v>0</v>
      </c>
      <c r="F194">
        <v>104421.29</v>
      </c>
      <c r="G194"/>
      <c r="H194"/>
      <c r="I194"/>
      <c r="J194"/>
    </row>
    <row r="195" spans="1:10" x14ac:dyDescent="0.25">
      <c r="A195"/>
      <c r="B195">
        <v>192</v>
      </c>
      <c r="C195" t="s">
        <v>31</v>
      </c>
      <c r="D195"/>
      <c r="E195" t="s">
        <v>0</v>
      </c>
      <c r="F195">
        <v>84550.33</v>
      </c>
      <c r="G195"/>
      <c r="H195"/>
      <c r="I195"/>
      <c r="J195"/>
    </row>
    <row r="196" spans="1:10" x14ac:dyDescent="0.25">
      <c r="A196"/>
      <c r="B196">
        <v>193</v>
      </c>
      <c r="C196" t="s">
        <v>30</v>
      </c>
      <c r="D196"/>
      <c r="E196" t="s">
        <v>0</v>
      </c>
      <c r="F196">
        <v>119431.87</v>
      </c>
      <c r="G196"/>
      <c r="H196"/>
      <c r="I196"/>
      <c r="J196"/>
    </row>
    <row r="197" spans="1:10" x14ac:dyDescent="0.25">
      <c r="A197"/>
      <c r="B197">
        <v>194</v>
      </c>
      <c r="C197" t="s">
        <v>29</v>
      </c>
      <c r="D197"/>
      <c r="E197" t="s">
        <v>5</v>
      </c>
      <c r="F197">
        <v>73608.53</v>
      </c>
      <c r="G197"/>
      <c r="H197"/>
      <c r="I197"/>
      <c r="J197"/>
    </row>
    <row r="198" spans="1:10" x14ac:dyDescent="0.25">
      <c r="A198"/>
      <c r="B198">
        <v>195</v>
      </c>
      <c r="C198" t="s">
        <v>28</v>
      </c>
      <c r="D198"/>
      <c r="E198" t="s">
        <v>3</v>
      </c>
      <c r="F198">
        <v>21796.9</v>
      </c>
      <c r="G198"/>
      <c r="H198"/>
      <c r="I198"/>
      <c r="J198"/>
    </row>
    <row r="199" spans="1:10" x14ac:dyDescent="0.25">
      <c r="A199"/>
      <c r="B199">
        <v>196</v>
      </c>
      <c r="C199" t="s">
        <v>27</v>
      </c>
      <c r="D199"/>
      <c r="E199" t="s">
        <v>3</v>
      </c>
      <c r="F199">
        <v>68688.240000000005</v>
      </c>
      <c r="G199"/>
      <c r="H199"/>
      <c r="I199"/>
      <c r="J199"/>
    </row>
    <row r="200" spans="1:10" x14ac:dyDescent="0.25">
      <c r="A200"/>
      <c r="B200">
        <v>197</v>
      </c>
      <c r="C200" t="s">
        <v>26</v>
      </c>
      <c r="D200"/>
      <c r="E200" t="s">
        <v>0</v>
      </c>
      <c r="F200">
        <v>112990.29</v>
      </c>
      <c r="G200"/>
      <c r="H200"/>
      <c r="I200"/>
      <c r="J200"/>
    </row>
    <row r="201" spans="1:10" x14ac:dyDescent="0.25">
      <c r="A201"/>
      <c r="B201">
        <v>198</v>
      </c>
      <c r="C201" t="s">
        <v>25</v>
      </c>
      <c r="D201"/>
      <c r="E201" t="s">
        <v>5</v>
      </c>
      <c r="F201">
        <v>71985.64</v>
      </c>
      <c r="G201"/>
      <c r="H201"/>
      <c r="I201"/>
      <c r="J201"/>
    </row>
    <row r="202" spans="1:10" x14ac:dyDescent="0.25">
      <c r="A202"/>
      <c r="B202">
        <v>199</v>
      </c>
      <c r="C202" t="s">
        <v>24</v>
      </c>
      <c r="D202"/>
      <c r="E202" t="s">
        <v>5</v>
      </c>
      <c r="F202">
        <v>57140.73</v>
      </c>
      <c r="G202"/>
      <c r="H202"/>
      <c r="I202"/>
      <c r="J202"/>
    </row>
    <row r="203" spans="1:10" x14ac:dyDescent="0.25">
      <c r="A203"/>
      <c r="B203">
        <v>200</v>
      </c>
      <c r="C203" t="s">
        <v>23</v>
      </c>
      <c r="D203"/>
      <c r="E203" t="s">
        <v>3</v>
      </c>
      <c r="F203">
        <v>49840.19</v>
      </c>
      <c r="G203"/>
      <c r="H203"/>
      <c r="I203"/>
      <c r="J203"/>
    </row>
    <row r="204" spans="1:10" x14ac:dyDescent="0.25">
      <c r="A204"/>
      <c r="B204">
        <v>201</v>
      </c>
      <c r="C204" t="s">
        <v>22</v>
      </c>
      <c r="D204"/>
      <c r="E204" t="s">
        <v>0</v>
      </c>
      <c r="F204">
        <v>149160.81</v>
      </c>
      <c r="G204"/>
      <c r="H204"/>
      <c r="I204"/>
      <c r="J204"/>
    </row>
    <row r="205" spans="1:10" x14ac:dyDescent="0.25">
      <c r="A205"/>
      <c r="B205">
        <v>202</v>
      </c>
      <c r="C205" t="s">
        <v>21</v>
      </c>
      <c r="D205"/>
      <c r="E205" t="s">
        <v>0</v>
      </c>
      <c r="F205">
        <v>45720.800000000003</v>
      </c>
      <c r="G205"/>
      <c r="H205"/>
      <c r="I205"/>
      <c r="J205"/>
    </row>
    <row r="206" spans="1:10" x14ac:dyDescent="0.25">
      <c r="A206"/>
      <c r="B206">
        <v>203</v>
      </c>
      <c r="C206" t="s">
        <v>20</v>
      </c>
      <c r="D206"/>
      <c r="E206" t="s">
        <v>0</v>
      </c>
      <c r="F206">
        <v>94134.69</v>
      </c>
      <c r="G206"/>
      <c r="H206"/>
      <c r="I206"/>
      <c r="J206"/>
    </row>
    <row r="207" spans="1:10" x14ac:dyDescent="0.25">
      <c r="A207"/>
      <c r="B207">
        <v>204</v>
      </c>
      <c r="C207" t="s">
        <v>19</v>
      </c>
      <c r="D207"/>
      <c r="E207" t="s">
        <v>3</v>
      </c>
      <c r="F207">
        <v>91019.520000000004</v>
      </c>
      <c r="G207"/>
      <c r="H207"/>
      <c r="I207"/>
      <c r="J207"/>
    </row>
    <row r="208" spans="1:10" x14ac:dyDescent="0.25">
      <c r="A208"/>
      <c r="B208">
        <v>205</v>
      </c>
      <c r="C208" t="s">
        <v>18</v>
      </c>
      <c r="D208"/>
      <c r="E208" t="s">
        <v>3</v>
      </c>
      <c r="F208">
        <v>24408.67</v>
      </c>
      <c r="G208"/>
      <c r="H208"/>
      <c r="I208"/>
      <c r="J208"/>
    </row>
    <row r="209" spans="1:10" x14ac:dyDescent="0.25">
      <c r="A209"/>
      <c r="B209">
        <v>206</v>
      </c>
      <c r="C209" t="s">
        <v>17</v>
      </c>
      <c r="D209"/>
      <c r="E209" t="s">
        <v>5</v>
      </c>
      <c r="F209">
        <v>20688.88</v>
      </c>
      <c r="G209"/>
      <c r="H209"/>
      <c r="I209"/>
      <c r="J209"/>
    </row>
    <row r="210" spans="1:10" x14ac:dyDescent="0.25">
      <c r="A210"/>
      <c r="B210">
        <v>207</v>
      </c>
      <c r="C210" t="s">
        <v>16</v>
      </c>
      <c r="D210"/>
      <c r="E210" t="s">
        <v>5</v>
      </c>
      <c r="F210">
        <v>58183.55</v>
      </c>
      <c r="G210"/>
      <c r="H210"/>
      <c r="I210"/>
      <c r="J210"/>
    </row>
    <row r="211" spans="1:10" x14ac:dyDescent="0.25">
      <c r="A211"/>
      <c r="B211">
        <v>208</v>
      </c>
      <c r="C211" t="s">
        <v>15</v>
      </c>
      <c r="D211"/>
      <c r="E211" t="s">
        <v>5</v>
      </c>
      <c r="F211">
        <v>67493.83</v>
      </c>
      <c r="G211"/>
      <c r="H211"/>
      <c r="I211"/>
      <c r="J211"/>
    </row>
    <row r="212" spans="1:10" x14ac:dyDescent="0.25">
      <c r="A212"/>
      <c r="B212">
        <v>209</v>
      </c>
      <c r="C212" t="s">
        <v>14</v>
      </c>
      <c r="D212"/>
      <c r="E212" t="s">
        <v>5</v>
      </c>
      <c r="F212">
        <v>137742.46</v>
      </c>
      <c r="G212"/>
      <c r="H212"/>
      <c r="I212"/>
      <c r="J212"/>
    </row>
    <row r="213" spans="1:10" x14ac:dyDescent="0.25">
      <c r="A213"/>
      <c r="B213">
        <v>210</v>
      </c>
      <c r="C213" t="s">
        <v>13</v>
      </c>
      <c r="D213"/>
      <c r="E213" t="s">
        <v>0</v>
      </c>
      <c r="F213">
        <v>116001.65</v>
      </c>
      <c r="G213"/>
      <c r="H213"/>
      <c r="I213"/>
      <c r="J213"/>
    </row>
    <row r="214" spans="1:10" x14ac:dyDescent="0.25">
      <c r="A214"/>
      <c r="B214">
        <v>211</v>
      </c>
      <c r="C214" t="s">
        <v>12</v>
      </c>
      <c r="D214"/>
      <c r="E214" t="s">
        <v>3</v>
      </c>
      <c r="F214">
        <v>82682.44</v>
      </c>
      <c r="G214"/>
      <c r="H214"/>
      <c r="I214"/>
      <c r="J214"/>
    </row>
    <row r="215" spans="1:10" x14ac:dyDescent="0.25">
      <c r="A215"/>
      <c r="B215">
        <v>212</v>
      </c>
      <c r="C215" t="s">
        <v>11</v>
      </c>
      <c r="D215"/>
      <c r="E215" t="s">
        <v>0</v>
      </c>
      <c r="F215">
        <v>28115.74</v>
      </c>
      <c r="G215"/>
      <c r="H215"/>
      <c r="I215"/>
      <c r="J215"/>
    </row>
    <row r="216" spans="1:10" x14ac:dyDescent="0.25">
      <c r="A216"/>
      <c r="B216">
        <v>213</v>
      </c>
      <c r="C216" t="s">
        <v>10</v>
      </c>
      <c r="D216"/>
      <c r="E216" t="s">
        <v>5</v>
      </c>
      <c r="F216">
        <v>36363.440000000002</v>
      </c>
      <c r="G216"/>
      <c r="H216"/>
      <c r="I216"/>
      <c r="J216"/>
    </row>
    <row r="217" spans="1:10" x14ac:dyDescent="0.25">
      <c r="A217"/>
      <c r="B217">
        <v>214</v>
      </c>
      <c r="C217" t="s">
        <v>9</v>
      </c>
      <c r="D217"/>
      <c r="E217" t="s">
        <v>5</v>
      </c>
      <c r="F217">
        <v>35075.760000000002</v>
      </c>
      <c r="G217"/>
      <c r="H217"/>
      <c r="I217"/>
      <c r="J217"/>
    </row>
    <row r="218" spans="1:10" x14ac:dyDescent="0.25">
      <c r="A218"/>
      <c r="B218">
        <v>215</v>
      </c>
      <c r="C218" t="s">
        <v>8</v>
      </c>
      <c r="D218"/>
      <c r="E218" t="s">
        <v>3</v>
      </c>
      <c r="F218">
        <v>121148.62</v>
      </c>
      <c r="G218"/>
      <c r="H218"/>
      <c r="I218"/>
      <c r="J218"/>
    </row>
    <row r="219" spans="1:10" x14ac:dyDescent="0.25">
      <c r="A219"/>
      <c r="B219">
        <v>216</v>
      </c>
      <c r="C219" t="s">
        <v>7</v>
      </c>
      <c r="D219"/>
      <c r="E219" t="s">
        <v>5</v>
      </c>
      <c r="F219">
        <v>109504.76</v>
      </c>
      <c r="G219"/>
      <c r="H219"/>
      <c r="I219"/>
      <c r="J219"/>
    </row>
    <row r="220" spans="1:10" x14ac:dyDescent="0.25">
      <c r="A220"/>
      <c r="B220">
        <v>217</v>
      </c>
      <c r="C220" t="s">
        <v>6</v>
      </c>
      <c r="D220"/>
      <c r="E220" t="s">
        <v>5</v>
      </c>
      <c r="F220"/>
      <c r="G220"/>
      <c r="H220"/>
      <c r="I220"/>
      <c r="J220"/>
    </row>
    <row r="221" spans="1:10" x14ac:dyDescent="0.25">
      <c r="A221"/>
      <c r="B221">
        <v>218</v>
      </c>
      <c r="C221" t="s">
        <v>4</v>
      </c>
      <c r="D221"/>
      <c r="E221" t="s">
        <v>3</v>
      </c>
      <c r="F221">
        <v>145121.43</v>
      </c>
      <c r="G221"/>
      <c r="H221"/>
      <c r="I221"/>
      <c r="J221"/>
    </row>
    <row r="222" spans="1:10" x14ac:dyDescent="0.25">
      <c r="A222"/>
      <c r="B222">
        <v>219</v>
      </c>
      <c r="C222" t="s">
        <v>2</v>
      </c>
      <c r="D222"/>
      <c r="E222" t="s">
        <v>0</v>
      </c>
      <c r="F222">
        <v>147301.29</v>
      </c>
      <c r="G222"/>
      <c r="H222"/>
      <c r="I222"/>
      <c r="J222"/>
    </row>
    <row r="223" spans="1:10" x14ac:dyDescent="0.25">
      <c r="A223"/>
      <c r="B223">
        <v>220</v>
      </c>
      <c r="C223" t="s">
        <v>1</v>
      </c>
      <c r="D223"/>
      <c r="E223" t="s">
        <v>0</v>
      </c>
      <c r="F223">
        <v>107351.87</v>
      </c>
      <c r="G223"/>
      <c r="H223"/>
      <c r="I223"/>
      <c r="J223"/>
    </row>
  </sheetData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e3f245d5-75d3-4a46-aaf3-21f491caf41c}" enabled="1" method="Privileged" siteId="{949678d3-dcfd-4b67-9826-deac9e9d2fc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Guardião das Fórmulas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Lopes Dos Santos - Libbs</dc:creator>
  <cp:lastModifiedBy>Rafael Lopes Dos Santos - Libbs</cp:lastModifiedBy>
  <dcterms:created xsi:type="dcterms:W3CDTF">2026-07-31T21:15:49Z</dcterms:created>
  <dcterms:modified xsi:type="dcterms:W3CDTF">2026-07-31T21:22:45Z</dcterms:modified>
</cp:coreProperties>
</file>